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AW_2023" sheetId="2" state="visible" r:id="rId2"/>
    <sheet xmlns:r="http://schemas.openxmlformats.org/officeDocument/2006/relationships" name="CATEGORIZED_2023" sheetId="3" state="visible" r:id="rId3"/>
    <sheet xmlns:r="http://schemas.openxmlformats.org/officeDocument/2006/relationships" name="P&amp;L_2023" sheetId="4" state="visible" r:id="rId4"/>
    <sheet xmlns:r="http://schemas.openxmlformats.org/officeDocument/2006/relationships" name="MONTHLY_2023" sheetId="5" state="visible" r:id="rId5"/>
    <sheet xmlns:r="http://schemas.openxmlformats.org/officeDocument/2006/relationships" name="LABOR_202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yyyy-mm-dd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6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14719.64</v>
      </c>
    </row>
    <row r="2"/>
    <row r="3">
      <c r="A3" s="1" t="inlineStr">
        <is>
          <t>1099 Employees</t>
        </is>
      </c>
    </row>
    <row r="4">
      <c r="A4" t="inlineStr">
        <is>
          <t>Bryan</t>
        </is>
      </c>
      <c r="B4" s="2" t="n">
        <v>0</v>
      </c>
    </row>
    <row r="5">
      <c r="A5" t="inlineStr">
        <is>
          <t>Jameson</t>
        </is>
      </c>
      <c r="B5" s="2" t="n">
        <v>0</v>
      </c>
    </row>
    <row r="6">
      <c r="A6" t="inlineStr">
        <is>
          <t>Casey</t>
        </is>
      </c>
      <c r="B6" s="2" t="n">
        <v>0</v>
      </c>
    </row>
    <row r="7">
      <c r="A7" t="inlineStr">
        <is>
          <t>Tony</t>
        </is>
      </c>
      <c r="B7" s="2" t="n">
        <v>0</v>
      </c>
    </row>
    <row r="8">
      <c r="A8" t="inlineStr">
        <is>
          <t>Unassigned Labor</t>
        </is>
      </c>
      <c r="B8" s="2" t="n">
        <v>20690</v>
      </c>
    </row>
    <row r="9"/>
    <row r="10">
      <c r="A10" s="1" t="inlineStr">
        <is>
          <t>Month</t>
        </is>
      </c>
      <c r="B10" s="1" t="inlineStr">
        <is>
          <t>Deposits</t>
        </is>
      </c>
      <c r="C10" s="1" t="inlineStr">
        <is>
          <t>Expenses</t>
        </is>
      </c>
      <c r="D10" s="1" t="inlineStr">
        <is>
          <t>Bill Pay</t>
        </is>
      </c>
      <c r="G10" s="1" t="inlineStr">
        <is>
          <t>Difference</t>
        </is>
      </c>
      <c r="H10" s="1" t="inlineStr">
        <is>
          <t>Car Write off</t>
        </is>
      </c>
      <c r="I10" s="1" t="inlineStr">
        <is>
          <t>Difference</t>
        </is>
      </c>
      <c r="J10" s="1" t="inlineStr">
        <is>
          <t>1099</t>
        </is>
      </c>
      <c r="K10" s="1" t="inlineStr">
        <is>
          <t>Total Loss</t>
        </is>
      </c>
    </row>
    <row r="11">
      <c r="A11" t="inlineStr">
        <is>
          <t>January</t>
        </is>
      </c>
      <c r="B11" s="2" t="n">
        <v>0</v>
      </c>
      <c r="C11" s="2" t="n">
        <v>14378.84</v>
      </c>
      <c r="D11" s="2" t="n">
        <v>2375</v>
      </c>
    </row>
    <row r="12">
      <c r="A12" t="inlineStr">
        <is>
          <t>February</t>
        </is>
      </c>
      <c r="B12" s="2" t="n">
        <v>0</v>
      </c>
      <c r="C12" s="2" t="n">
        <v>21387.22</v>
      </c>
      <c r="D12" s="2" t="n">
        <v>1800</v>
      </c>
    </row>
    <row r="13">
      <c r="A13" t="inlineStr">
        <is>
          <t>March</t>
        </is>
      </c>
      <c r="B13" s="2" t="n">
        <v>0</v>
      </c>
      <c r="C13" s="2" t="n">
        <v>13211.3</v>
      </c>
      <c r="D13" s="2" t="n">
        <v>900</v>
      </c>
    </row>
    <row r="14">
      <c r="A14" t="inlineStr">
        <is>
          <t>April</t>
        </is>
      </c>
      <c r="B14" s="2" t="n">
        <v>0</v>
      </c>
      <c r="C14" s="2" t="n">
        <v>9648</v>
      </c>
      <c r="D14" s="2" t="n">
        <v>1000</v>
      </c>
    </row>
    <row r="15">
      <c r="A15" t="inlineStr">
        <is>
          <t>May</t>
        </is>
      </c>
      <c r="B15" s="2" t="n">
        <v>0</v>
      </c>
      <c r="C15" s="2" t="n">
        <v>16089.23</v>
      </c>
      <c r="D15" s="2" t="n">
        <v>500</v>
      </c>
    </row>
    <row r="16">
      <c r="A16" t="inlineStr">
        <is>
          <t>June</t>
        </is>
      </c>
      <c r="B16" s="2" t="n">
        <v>0</v>
      </c>
      <c r="C16" s="2" t="n">
        <v>29958.99</v>
      </c>
      <c r="D16" s="2" t="n">
        <v>800</v>
      </c>
    </row>
    <row r="17">
      <c r="A17" t="inlineStr">
        <is>
          <t>July</t>
        </is>
      </c>
      <c r="B17" s="2" t="n">
        <v>0</v>
      </c>
      <c r="C17" s="2" t="n">
        <v>13838.23</v>
      </c>
      <c r="D17" s="2" t="n">
        <v>3500</v>
      </c>
    </row>
    <row r="18">
      <c r="A18" t="inlineStr">
        <is>
          <t>August</t>
        </is>
      </c>
      <c r="B18" s="2" t="n">
        <v>0</v>
      </c>
      <c r="C18" s="2" t="n">
        <v>22682.63</v>
      </c>
      <c r="D18" s="2" t="n">
        <v>4825</v>
      </c>
    </row>
    <row r="19">
      <c r="A19" t="inlineStr">
        <is>
          <t>September</t>
        </is>
      </c>
      <c r="B19" s="2" t="n">
        <v>0</v>
      </c>
      <c r="C19" s="2" t="n">
        <v>24228.01</v>
      </c>
      <c r="D19" s="2" t="n">
        <v>700</v>
      </c>
    </row>
    <row r="20">
      <c r="A20" t="inlineStr">
        <is>
          <t>October</t>
        </is>
      </c>
      <c r="B20" s="2" t="n">
        <v>0</v>
      </c>
      <c r="C20" s="2" t="n">
        <v>10700.23</v>
      </c>
      <c r="D20" s="2" t="n">
        <v>1450</v>
      </c>
    </row>
    <row r="21">
      <c r="A21" t="inlineStr">
        <is>
          <t>November</t>
        </is>
      </c>
      <c r="B21" s="2" t="n">
        <v>0</v>
      </c>
      <c r="C21" s="2" t="n">
        <v>19870.62</v>
      </c>
      <c r="D21" s="2" t="n">
        <v>1450</v>
      </c>
    </row>
    <row r="22">
      <c r="A22" t="inlineStr">
        <is>
          <t>December</t>
        </is>
      </c>
      <c r="B22" s="2" t="n">
        <v>0</v>
      </c>
      <c r="C22" s="2" t="n">
        <v>16447.28</v>
      </c>
      <c r="D22" s="2" t="n">
        <v>1390</v>
      </c>
    </row>
    <row r="23">
      <c r="A23" s="1" t="inlineStr">
        <is>
          <t>Total</t>
        </is>
      </c>
      <c r="B23" s="3">
        <f>SUM(B11:B22)</f>
        <v/>
      </c>
      <c r="C23" s="3">
        <f>SUM(C11:C22)</f>
        <v/>
      </c>
      <c r="D23" s="3">
        <f>SUM(D11:D22)</f>
        <v/>
      </c>
      <c r="G23" s="3">
        <f>B23-C23-D23</f>
        <v/>
      </c>
      <c r="H23" s="3" t="n">
        <v>14719.64</v>
      </c>
      <c r="I23" s="3">
        <f>G23-H23</f>
        <v/>
      </c>
      <c r="J23" s="3">
        <f>SUM(B4:B8)</f>
        <v/>
      </c>
      <c r="K23" s="3">
        <f>I23-J23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Group</t>
        </is>
      </c>
      <c r="G1" s="4" t="inlineStr">
        <is>
          <t>Contractor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  <c r="E2" t="inlineStr">
        <is>
          <t>Fuel</t>
        </is>
      </c>
      <c r="F2">
        <f>IF(E2="Income","Revenue",IF(OR(E2="Materials",E2="Labor",E2="Dump Fees"),"COGS",IF(OR(E2="Fuel",E2="Insurance",E2="Tools",E2="Repairs"),"Expense","Non-Deductible")))</f>
        <v/>
      </c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  <c r="E3" t="inlineStr">
        <is>
          <t>Fuel</t>
        </is>
      </c>
      <c r="F3">
        <f>IF(E3="Income","Revenue",IF(OR(E3="Materials",E3="Labor",E3="Dump Fees"),"COGS",IF(OR(E3="Fuel",E3="Insurance",E3="Tools",E3="Repairs"),"Expense","Non-Deductible")))</f>
        <v/>
      </c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  <c r="E4" t="inlineStr">
        <is>
          <t>Tools</t>
        </is>
      </c>
      <c r="F4">
        <f>IF(E4="Income","Revenue",IF(OR(E4="Materials",E4="Labor",E4="Dump Fees"),"COGS",IF(OR(E4="Fuel",E4="Insurance",E4="Tools",E4="Repairs"),"Expense","Non-Deductible")))</f>
        <v/>
      </c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  <c r="E5" t="inlineStr">
        <is>
          <t>Utilities</t>
        </is>
      </c>
      <c r="F5">
        <f>IF(E5="Income","Revenue",IF(OR(E5="Materials",E5="Labor",E5="Dump Fees"),"COGS",IF(OR(E5="Fuel",E5="Insurance",E5="Tools",E5="Repairs"),"Expense","Non-Deductible")))</f>
        <v/>
      </c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  <c r="E7" t="inlineStr">
        <is>
          <t>Labor</t>
        </is>
      </c>
      <c r="F7">
        <f>IF(E7="Income","Revenue",IF(OR(E7="Materials",E7="Labor",E7="Dump Fees"),"COGS",IF(OR(E7="Fuel",E7="Insurance",E7="Tools",E7="Repairs"),"Expense","Non-Deductible")))</f>
        <v/>
      </c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  <c r="E8" t="inlineStr">
        <is>
          <t>Utilities</t>
        </is>
      </c>
      <c r="F8">
        <f>IF(E8="Income","Revenue",IF(OR(E8="Materials",E8="Labor",E8="Dump Fees"),"COGS",IF(OR(E8="Fuel",E8="Insurance",E8="Tools",E8="Repairs"),"Expense","Non-Deductible")))</f>
        <v/>
      </c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  <c r="E9" t="inlineStr">
        <is>
          <t>Materials</t>
        </is>
      </c>
      <c r="F9">
        <f>IF(E9="Income","Revenue",IF(OR(E9="Materials",E9="Labor",E9="Dump Fees"),"COGS",IF(OR(E9="Fuel",E9="Insurance",E9="Tools",E9="Repairs"),"Expense","Non-Deductible")))</f>
        <v/>
      </c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  <c r="E10" t="inlineStr">
        <is>
          <t>Utilities</t>
        </is>
      </c>
      <c r="F10">
        <f>IF(E10="Income","Revenue",IF(OR(E10="Materials",E10="Labor",E10="Dump Fees"),"COGS",IF(OR(E10="Fuel",E10="Insurance",E10="Tools",E10="Repairs"),"Expense","Non-Deductible")))</f>
        <v/>
      </c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  <c r="E12" t="inlineStr">
        <is>
          <t>Fuel</t>
        </is>
      </c>
      <c r="F12">
        <f>IF(E12="Income","Revenue",IF(OR(E12="Materials",E12="Labor",E12="Dump Fees"),"COGS",IF(OR(E12="Fuel",E12="Insurance",E12="Tools",E12="Repairs"),"Expense","Non-Deductible")))</f>
        <v/>
      </c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  <c r="E14" t="inlineStr">
        <is>
          <t>Tools</t>
        </is>
      </c>
      <c r="F14">
        <f>IF(E14="Income","Revenue",IF(OR(E14="Materials",E14="Labor",E14="Dump Fees"),"COGS",IF(OR(E14="Fuel",E14="Insurance",E14="Tools",E14="Repairs"),"Expense","Non-Deductible")))</f>
        <v/>
      </c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  <c r="E15" t="inlineStr">
        <is>
          <t>Tools</t>
        </is>
      </c>
      <c r="F15">
        <f>IF(E15="Income","Revenue",IF(OR(E15="Materials",E15="Labor",E15="Dump Fees"),"COGS",IF(OR(E15="Fuel",E15="Insurance",E15="Tools",E15="Repairs"),"Expense","Non-Deductible")))</f>
        <v/>
      </c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  <c r="E20" t="inlineStr">
        <is>
          <t>Labor</t>
        </is>
      </c>
      <c r="F20">
        <f>IF(E20="Income","Revenue",IF(OR(E20="Materials",E20="Labor",E20="Dump Fees"),"COGS",IF(OR(E20="Fuel",E20="Insurance",E20="Tools",E20="Repairs"),"Expense","Non-Deductible")))</f>
        <v/>
      </c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  <c r="E21" t="inlineStr">
        <is>
          <t>Labor</t>
        </is>
      </c>
      <c r="F21">
        <f>IF(E21="Income","Revenue",IF(OR(E21="Materials",E21="Labor",E21="Dump Fees"),"COGS",IF(OR(E21="Fuel",E21="Insurance",E21="Tools",E21="Repairs"),"Expense","Non-Deductible")))</f>
        <v/>
      </c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  <c r="E22" t="inlineStr">
        <is>
          <t>Utilities</t>
        </is>
      </c>
      <c r="F22">
        <f>IF(E22="Income","Revenue",IF(OR(E22="Materials",E22="Labor",E22="Dump Fees"),"COGS",IF(OR(E22="Fuel",E22="Insurance",E22="Tools",E22="Repairs"),"Expense","Non-Deductible")))</f>
        <v/>
      </c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  <c r="E23" t="inlineStr">
        <is>
          <t>Fuel</t>
        </is>
      </c>
      <c r="F23">
        <f>IF(E23="Income","Revenue",IF(OR(E23="Materials",E23="Labor",E23="Dump Fees"),"COGS",IF(OR(E23="Fuel",E23="Insurance",E23="Tools",E23="Repairs"),"Expense","Non-Deductible")))</f>
        <v/>
      </c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  <c r="E25" t="inlineStr">
        <is>
          <t>Materials</t>
        </is>
      </c>
      <c r="F25">
        <f>IF(E25="Income","Revenue",IF(OR(E25="Materials",E25="Labor",E25="Dump Fees"),"COGS",IF(OR(E25="Fuel",E25="Insurance",E25="Tools",E25="Repairs"),"Expense","Non-Deductible")))</f>
        <v/>
      </c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  <c r="E27" t="inlineStr">
        <is>
          <t>Insurance</t>
        </is>
      </c>
      <c r="F27">
        <f>IF(E27="Income","Revenue",IF(OR(E27="Materials",E27="Labor",E27="Dump Fees"),"COGS",IF(OR(E27="Fuel",E27="Insurance",E27="Tools",E27="Repairs"),"Expense","Non-Deductible")))</f>
        <v/>
      </c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  <c r="E28" t="inlineStr">
        <is>
          <t>Tools</t>
        </is>
      </c>
      <c r="F28">
        <f>IF(E28="Income","Revenue",IF(OR(E28="Materials",E28="Labor",E28="Dump Fees"),"COGS",IF(OR(E28="Fuel",E28="Insurance",E28="Tools",E28="Repairs"),"Expense","Non-Deductible")))</f>
        <v/>
      </c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  <c r="E31" t="inlineStr">
        <is>
          <t>Labor</t>
        </is>
      </c>
      <c r="F31">
        <f>IF(E31="Income","Revenue",IF(OR(E31="Materials",E31="Labor",E31="Dump Fees"),"COGS",IF(OR(E31="Fuel",E31="Insurance",E31="Tools",E31="Repairs"),"Expense","Non-Deductible")))</f>
        <v/>
      </c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  <c r="E33" t="inlineStr">
        <is>
          <t>Utilities</t>
        </is>
      </c>
      <c r="F33">
        <f>IF(E33="Income","Revenue",IF(OR(E33="Materials",E33="Labor",E33="Dump Fees"),"COGS",IF(OR(E33="Fuel",E33="Insurance",E33="Tools",E33="Repairs"),"Expense","Non-Deductible")))</f>
        <v/>
      </c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  <c r="E34" t="inlineStr">
        <is>
          <t>Fuel</t>
        </is>
      </c>
      <c r="F34">
        <f>IF(E34="Income","Revenue",IF(OR(E34="Materials",E34="Labor",E34="Dump Fees"),"COGS",IF(OR(E34="Fuel",E34="Insurance",E34="Tools",E34="Repairs"),"Expense","Non-Deductible")))</f>
        <v/>
      </c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  <c r="E35" t="inlineStr">
        <is>
          <t>Tools</t>
        </is>
      </c>
      <c r="F35">
        <f>IF(E35="Income","Revenue",IF(OR(E35="Materials",E35="Labor",E35="Dump Fees"),"COGS",IF(OR(E35="Fuel",E35="Insurance",E35="Tools",E35="Repairs"),"Expense","Non-Deductible")))</f>
        <v/>
      </c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  <c r="E36" t="inlineStr">
        <is>
          <t>Fuel</t>
        </is>
      </c>
      <c r="F36">
        <f>IF(E36="Income","Revenue",IF(OR(E36="Materials",E36="Labor",E36="Dump Fees"),"COGS",IF(OR(E36="Fuel",E36="Insurance",E36="Tools",E36="Repairs"),"Expense","Non-Deductible")))</f>
        <v/>
      </c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  <c r="E39" t="inlineStr">
        <is>
          <t>Utilities</t>
        </is>
      </c>
      <c r="F39">
        <f>IF(E39="Income","Revenue",IF(OR(E39="Materials",E39="Labor",E39="Dump Fees"),"COGS",IF(OR(E39="Fuel",E39="Insurance",E39="Tools",E39="Repairs"),"Expense","Non-Deductible")))</f>
        <v/>
      </c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  <c r="E40" t="inlineStr">
        <is>
          <t>Tools</t>
        </is>
      </c>
      <c r="F40">
        <f>IF(E40="Income","Revenue",IF(OR(E40="Materials",E40="Labor",E40="Dump Fees"),"COGS",IF(OR(E40="Fuel",E40="Insurance",E40="Tools",E40="Repairs"),"Expense","Non-Deductible")))</f>
        <v/>
      </c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  <c r="E45" t="inlineStr">
        <is>
          <t>Fuel</t>
        </is>
      </c>
      <c r="F45">
        <f>IF(E45="Income","Revenue",IF(OR(E45="Materials",E45="Labor",E45="Dump Fees"),"COGS",IF(OR(E45="Fuel",E45="Insurance",E45="Tools",E45="Repairs"),"Expense","Non-Deductible")))</f>
        <v/>
      </c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  <c r="E46" t="inlineStr">
        <is>
          <t>Tools</t>
        </is>
      </c>
      <c r="F46">
        <f>IF(E46="Income","Revenue",IF(OR(E46="Materials",E46="Labor",E46="Dump Fees"),"COGS",IF(OR(E46="Fuel",E46="Insurance",E46="Tools",E46="Repairs"),"Expense","Non-Deductible")))</f>
        <v/>
      </c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  <c r="E48" t="inlineStr">
        <is>
          <t>Tools</t>
        </is>
      </c>
      <c r="F48">
        <f>IF(E48="Income","Revenue",IF(OR(E48="Materials",E48="Labor",E48="Dump Fees"),"COGS",IF(OR(E48="Fuel",E48="Insurance",E48="Tools",E48="Repairs"),"Expense","Non-Deductible")))</f>
        <v/>
      </c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  <c r="E50" t="inlineStr">
        <is>
          <t>Utilities</t>
        </is>
      </c>
      <c r="F50">
        <f>IF(E50="Income","Revenue",IF(OR(E50="Materials",E50="Labor",E50="Dump Fees"),"COGS",IF(OR(E50="Fuel",E50="Insurance",E50="Tools",E50="Repairs"),"Expense","Non-Deductible")))</f>
        <v/>
      </c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  <c r="E52" t="inlineStr">
        <is>
          <t>Labor</t>
        </is>
      </c>
      <c r="F52">
        <f>IF(E52="Income","Revenue",IF(OR(E52="Materials",E52="Labor",E52="Dump Fees"),"COGS",IF(OR(E52="Fuel",E52="Insurance",E52="Tools",E52="Repairs"),"Expense","Non-Deductible")))</f>
        <v/>
      </c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  <c r="E54" t="inlineStr">
        <is>
          <t>Utilities</t>
        </is>
      </c>
      <c r="F54">
        <f>IF(E54="Income","Revenue",IF(OR(E54="Materials",E54="Labor",E54="Dump Fees"),"COGS",IF(OR(E54="Fuel",E54="Insurance",E54="Tools",E54="Repairs"),"Expense","Non-Deductible")))</f>
        <v/>
      </c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  <c r="E55" t="inlineStr">
        <is>
          <t>Fuel</t>
        </is>
      </c>
      <c r="F55">
        <f>IF(E55="Income","Revenue",IF(OR(E55="Materials",E55="Labor",E55="Dump Fees"),"COGS",IF(OR(E55="Fuel",E55="Insurance",E55="Tools",E55="Repairs"),"Expense","Non-Deductible")))</f>
        <v/>
      </c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  <c r="E56" t="inlineStr">
        <is>
          <t>Utilities</t>
        </is>
      </c>
      <c r="F56">
        <f>IF(E56="Income","Revenue",IF(OR(E56="Materials",E56="Labor",E56="Dump Fees"),"COGS",IF(OR(E56="Fuel",E56="Insurance",E56="Tools",E56="Repairs"),"Expense","Non-Deductible")))</f>
        <v/>
      </c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  <c r="E59" t="inlineStr">
        <is>
          <t>Dump Fees</t>
        </is>
      </c>
      <c r="F59">
        <f>IF(E59="Income","Revenue",IF(OR(E59="Materials",E59="Labor",E59="Dump Fees"),"COGS",IF(OR(E59="Fuel",E59="Insurance",E59="Tools",E59="Repairs"),"Expense","Non-Deductible")))</f>
        <v/>
      </c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  <c r="E60" t="inlineStr">
        <is>
          <t>Utilities</t>
        </is>
      </c>
      <c r="F60">
        <f>IF(E60="Income","Revenue",IF(OR(E60="Materials",E60="Labor",E60="Dump Fees"),"COGS",IF(OR(E60="Fuel",E60="Insurance",E60="Tools",E60="Repairs"),"Expense","Non-Deductible")))</f>
        <v/>
      </c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  <c r="E61" t="inlineStr">
        <is>
          <t>Utilities</t>
        </is>
      </c>
      <c r="F61">
        <f>IF(E61="Income","Revenue",IF(OR(E61="Materials",E61="Labor",E61="Dump Fees"),"COGS",IF(OR(E61="Fuel",E61="Insurance",E61="Tools",E61="Repairs"),"Expense","Non-Deductible")))</f>
        <v/>
      </c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  <c r="E62" t="inlineStr">
        <is>
          <t>Utilities</t>
        </is>
      </c>
      <c r="F62">
        <f>IF(E62="Income","Revenue",IF(OR(E62="Materials",E62="Labor",E62="Dump Fees"),"COGS",IF(OR(E62="Fuel",E62="Insurance",E62="Tools",E62="Repairs"),"Expense","Non-Deductible")))</f>
        <v/>
      </c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  <c r="E63" t="inlineStr">
        <is>
          <t>Materials</t>
        </is>
      </c>
      <c r="F63">
        <f>IF(E63="Income","Revenue",IF(OR(E63="Materials",E63="Labor",E63="Dump Fees"),"COGS",IF(OR(E63="Fuel",E63="Insurance",E63="Tools",E63="Repairs"),"Expense","Non-Deductible")))</f>
        <v/>
      </c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  <c r="E66" t="inlineStr">
        <is>
          <t>Tools</t>
        </is>
      </c>
      <c r="F66">
        <f>IF(E66="Income","Revenue",IF(OR(E66="Materials",E66="Labor",E66="Dump Fees"),"COGS",IF(OR(E66="Fuel",E66="Insurance",E66="Tools",E66="Repairs"),"Expense","Non-Deductible")))</f>
        <v/>
      </c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  <c r="E67" t="inlineStr">
        <is>
          <t>Tools</t>
        </is>
      </c>
      <c r="F67">
        <f>IF(E67="Income","Revenue",IF(OR(E67="Materials",E67="Labor",E67="Dump Fees"),"COGS",IF(OR(E67="Fuel",E67="Insurance",E67="Tools",E67="Repairs"),"Expense","Non-Deductible")))</f>
        <v/>
      </c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  <c r="E68" t="inlineStr">
        <is>
          <t>Labor</t>
        </is>
      </c>
      <c r="F68">
        <f>IF(E68="Income","Revenue",IF(OR(E68="Materials",E68="Labor",E68="Dump Fees"),"COGS",IF(OR(E68="Fuel",E68="Insurance",E68="Tools",E68="Repairs"),"Expense","Non-Deductible")))</f>
        <v/>
      </c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  <c r="E69" t="inlineStr">
        <is>
          <t>Fuel</t>
        </is>
      </c>
      <c r="F69">
        <f>IF(E69="Income","Revenue",IF(OR(E69="Materials",E69="Labor",E69="Dump Fees"),"COGS",IF(OR(E69="Fuel",E69="Insurance",E69="Tools",E69="Repairs"),"Expense","Non-Deductible")))</f>
        <v/>
      </c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  <c r="E70" t="inlineStr">
        <is>
          <t>Fuel</t>
        </is>
      </c>
      <c r="F70">
        <f>IF(E70="Income","Revenue",IF(OR(E70="Materials",E70="Labor",E70="Dump Fees"),"COGS",IF(OR(E70="Fuel",E70="Insurance",E70="Tools",E70="Repairs"),"Expense","Non-Deductible")))</f>
        <v/>
      </c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  <c r="E71" t="inlineStr">
        <is>
          <t>Materials</t>
        </is>
      </c>
      <c r="F71">
        <f>IF(E71="Income","Revenue",IF(OR(E71="Materials",E71="Labor",E71="Dump Fees"),"COGS",IF(OR(E71="Fuel",E71="Insurance",E71="Tools",E71="Repairs"),"Expense","Non-Deductible")))</f>
        <v/>
      </c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  <c r="E72" t="inlineStr">
        <is>
          <t>Utilities</t>
        </is>
      </c>
      <c r="F72">
        <f>IF(E72="Income","Revenue",IF(OR(E72="Materials",E72="Labor",E72="Dump Fees"),"COGS",IF(OR(E72="Fuel",E72="Insurance",E72="Tools",E72="Repairs"),"Expense","Non-Deductible")))</f>
        <v/>
      </c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  <c r="E73" t="inlineStr">
        <is>
          <t>Tools</t>
        </is>
      </c>
      <c r="F73">
        <f>IF(E73="Income","Revenue",IF(OR(E73="Materials",E73="Labor",E73="Dump Fees"),"COGS",IF(OR(E73="Fuel",E73="Insurance",E73="Tools",E73="Repairs"),"Expense","Non-Deductible")))</f>
        <v/>
      </c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  <c r="E74" t="inlineStr">
        <is>
          <t>Utilities</t>
        </is>
      </c>
      <c r="F74">
        <f>IF(E74="Income","Revenue",IF(OR(E74="Materials",E74="Labor",E74="Dump Fees"),"COGS",IF(OR(E74="Fuel",E74="Insurance",E74="Tools",E74="Repairs"),"Expense","Non-Deductible")))</f>
        <v/>
      </c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  <c r="E76" t="inlineStr">
        <is>
          <t>Fuel</t>
        </is>
      </c>
      <c r="F76">
        <f>IF(E76="Income","Revenue",IF(OR(E76="Materials",E76="Labor",E76="Dump Fees"),"COGS",IF(OR(E76="Fuel",E76="Insurance",E76="Tools",E76="Repairs"),"Expense","Non-Deductible")))</f>
        <v/>
      </c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  <c r="E80" t="inlineStr">
        <is>
          <t>Dump Fees</t>
        </is>
      </c>
      <c r="F80">
        <f>IF(E80="Income","Revenue",IF(OR(E80="Materials",E80="Labor",E80="Dump Fees"),"COGS",IF(OR(E80="Fuel",E80="Insurance",E80="Tools",E80="Repairs"),"Expense","Non-Deductible")))</f>
        <v/>
      </c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  <c r="E81" t="inlineStr">
        <is>
          <t>Utilities</t>
        </is>
      </c>
      <c r="F81">
        <f>IF(E81="Income","Revenue",IF(OR(E81="Materials",E81="Labor",E81="Dump Fees"),"COGS",IF(OR(E81="Fuel",E81="Insurance",E81="Tools",E81="Repairs"),"Expense","Non-Deductible")))</f>
        <v/>
      </c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  <c r="E82" t="inlineStr">
        <is>
          <t>Fuel</t>
        </is>
      </c>
      <c r="F82">
        <f>IF(E82="Income","Revenue",IF(OR(E82="Materials",E82="Labor",E82="Dump Fees"),"COGS",IF(OR(E82="Fuel",E82="Insurance",E82="Tools",E82="Repairs"),"Expense","Non-Deductible")))</f>
        <v/>
      </c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  <c r="E86" t="inlineStr">
        <is>
          <t>Materials</t>
        </is>
      </c>
      <c r="F86">
        <f>IF(E86="Income","Revenue",IF(OR(E86="Materials",E86="Labor",E86="Dump Fees"),"COGS",IF(OR(E86="Fuel",E86="Insurance",E86="Tools",E86="Repairs"),"Expense","Non-Deductible")))</f>
        <v/>
      </c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  <c r="E88" t="inlineStr">
        <is>
          <t>Labor</t>
        </is>
      </c>
      <c r="F88">
        <f>IF(E88="Income","Revenue",IF(OR(E88="Materials",E88="Labor",E88="Dump Fees"),"COGS",IF(OR(E88="Fuel",E88="Insurance",E88="Tools",E88="Repairs"),"Expense","Non-Deductible")))</f>
        <v/>
      </c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  <c r="E89" t="inlineStr">
        <is>
          <t>Materials</t>
        </is>
      </c>
      <c r="F89">
        <f>IF(E89="Income","Revenue",IF(OR(E89="Materials",E89="Labor",E89="Dump Fees"),"COGS",IF(OR(E89="Fuel",E89="Insurance",E89="Tools",E89="Repairs"),"Expense","Non-Deductible")))</f>
        <v/>
      </c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  <c r="E90" t="inlineStr">
        <is>
          <t>Tools</t>
        </is>
      </c>
      <c r="F90">
        <f>IF(E90="Income","Revenue",IF(OR(E90="Materials",E90="Labor",E90="Dump Fees"),"COGS",IF(OR(E90="Fuel",E90="Insurance",E90="Tools",E90="Repairs"),"Expense","Non-Deductible")))</f>
        <v/>
      </c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  <c r="E91" t="inlineStr">
        <is>
          <t>Materials</t>
        </is>
      </c>
      <c r="F91">
        <f>IF(E91="Income","Revenue",IF(OR(E91="Materials",E91="Labor",E91="Dump Fees"),"COGS",IF(OR(E91="Fuel",E91="Insurance",E91="Tools",E91="Repairs"),"Expense","Non-Deductible")))</f>
        <v/>
      </c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  <c r="E92" t="inlineStr">
        <is>
          <t>Materials</t>
        </is>
      </c>
      <c r="F92">
        <f>IF(E92="Income","Revenue",IF(OR(E92="Materials",E92="Labor",E92="Dump Fees"),"COGS",IF(OR(E92="Fuel",E92="Insurance",E92="Tools",E92="Repairs"),"Expense","Non-Deductible")))</f>
        <v/>
      </c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  <c r="E93" t="inlineStr">
        <is>
          <t>Utilities</t>
        </is>
      </c>
      <c r="F93">
        <f>IF(E93="Income","Revenue",IF(OR(E93="Materials",E93="Labor",E93="Dump Fees"),"COGS",IF(OR(E93="Fuel",E93="Insurance",E93="Tools",E93="Repairs"),"Expense","Non-Deductible")))</f>
        <v/>
      </c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  <c r="E94" t="inlineStr">
        <is>
          <t>Fuel</t>
        </is>
      </c>
      <c r="F94">
        <f>IF(E94="Income","Revenue",IF(OR(E94="Materials",E94="Labor",E94="Dump Fees"),"COGS",IF(OR(E94="Fuel",E94="Insurance",E94="Tools",E94="Repairs"),"Expense","Non-Deductible")))</f>
        <v/>
      </c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  <c r="E95" t="inlineStr">
        <is>
          <t>Materials</t>
        </is>
      </c>
      <c r="F95">
        <f>IF(E95="Income","Revenue",IF(OR(E95="Materials",E95="Labor",E95="Dump Fees"),"COGS",IF(OR(E95="Fuel",E95="Insurance",E95="Tools",E95="Repairs"),"Expense","Non-Deductible")))</f>
        <v/>
      </c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  <c r="E98" t="inlineStr">
        <is>
          <t>Fuel</t>
        </is>
      </c>
      <c r="F98">
        <f>IF(E98="Income","Revenue",IF(OR(E98="Materials",E98="Labor",E98="Dump Fees"),"COGS",IF(OR(E98="Fuel",E98="Insurance",E98="Tools",E98="Repairs"),"Expense","Non-Deductible")))</f>
        <v/>
      </c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  <c r="E100" t="inlineStr">
        <is>
          <t>Utilities</t>
        </is>
      </c>
      <c r="F100">
        <f>IF(E100="Income","Revenue",IF(OR(E100="Materials",E100="Labor",E100="Dump Fees"),"COGS",IF(OR(E100="Fuel",E100="Insurance",E100="Tools",E100="Repairs"),"Expense","Non-Deductible")))</f>
        <v/>
      </c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  <c r="E101" t="inlineStr">
        <is>
          <t>Tools</t>
        </is>
      </c>
      <c r="F101">
        <f>IF(E101="Income","Revenue",IF(OR(E101="Materials",E101="Labor",E101="Dump Fees"),"COGS",IF(OR(E101="Fuel",E101="Insurance",E101="Tools",E101="Repairs"),"Expense","Non-Deductible")))</f>
        <v/>
      </c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  <c r="E102" t="inlineStr">
        <is>
          <t>Tools</t>
        </is>
      </c>
      <c r="F102">
        <f>IF(E102="Income","Revenue",IF(OR(E102="Materials",E102="Labor",E102="Dump Fees"),"COGS",IF(OR(E102="Fuel",E102="Insurance",E102="Tools",E102="Repairs"),"Expense","Non-Deductible")))</f>
        <v/>
      </c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  <c r="E103" t="inlineStr">
        <is>
          <t>Insurance</t>
        </is>
      </c>
      <c r="F103">
        <f>IF(E103="Income","Revenue",IF(OR(E103="Materials",E103="Labor",E103="Dump Fees"),"COGS",IF(OR(E103="Fuel",E103="Insurance",E103="Tools",E103="Repairs"),"Expense","Non-Deductible")))</f>
        <v/>
      </c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  <c r="E104" t="inlineStr">
        <is>
          <t>Utilities</t>
        </is>
      </c>
      <c r="F104">
        <f>IF(E104="Income","Revenue",IF(OR(E104="Materials",E104="Labor",E104="Dump Fees"),"COGS",IF(OR(E104="Fuel",E104="Insurance",E104="Tools",E104="Repairs"),"Expense","Non-Deductible")))</f>
        <v/>
      </c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  <c r="E107" t="inlineStr">
        <is>
          <t>Materials</t>
        </is>
      </c>
      <c r="F107">
        <f>IF(E107="Income","Revenue",IF(OR(E107="Materials",E107="Labor",E107="Dump Fees"),"COGS",IF(OR(E107="Fuel",E107="Insurance",E107="Tools",E107="Repairs"),"Expense","Non-Deductible")))</f>
        <v/>
      </c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  <c r="E108" t="inlineStr">
        <is>
          <t>Tools</t>
        </is>
      </c>
      <c r="F108">
        <f>IF(E108="Income","Revenue",IF(OR(E108="Materials",E108="Labor",E108="Dump Fees"),"COGS",IF(OR(E108="Fuel",E108="Insurance",E108="Tools",E108="Repairs"),"Expense","Non-Deductible")))</f>
        <v/>
      </c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  <c r="E109" t="inlineStr">
        <is>
          <t>Tools</t>
        </is>
      </c>
      <c r="F109">
        <f>IF(E109="Income","Revenue",IF(OR(E109="Materials",E109="Labor",E109="Dump Fees"),"COGS",IF(OR(E109="Fuel",E109="Insurance",E109="Tools",E109="Repairs"),"Expense","Non-Deductible")))</f>
        <v/>
      </c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  <c r="E111" t="inlineStr">
        <is>
          <t>Labor</t>
        </is>
      </c>
      <c r="F111">
        <f>IF(E111="Income","Revenue",IF(OR(E111="Materials",E111="Labor",E111="Dump Fees"),"COGS",IF(OR(E111="Fuel",E111="Insurance",E111="Tools",E111="Repairs"),"Expense","Non-Deductible")))</f>
        <v/>
      </c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  <c r="E113" t="inlineStr">
        <is>
          <t>Materials</t>
        </is>
      </c>
      <c r="F113">
        <f>IF(E113="Income","Revenue",IF(OR(E113="Materials",E113="Labor",E113="Dump Fees"),"COGS",IF(OR(E113="Fuel",E113="Insurance",E113="Tools",E113="Repairs"),"Expense","Non-Deductible")))</f>
        <v/>
      </c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  <c r="E114" t="inlineStr">
        <is>
          <t>Materials</t>
        </is>
      </c>
      <c r="F114">
        <f>IF(E114="Income","Revenue",IF(OR(E114="Materials",E114="Labor",E114="Dump Fees"),"COGS",IF(OR(E114="Fuel",E114="Insurance",E114="Tools",E114="Repairs"),"Expense","Non-Deductible")))</f>
        <v/>
      </c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  <c r="E115" t="inlineStr">
        <is>
          <t>Utilities</t>
        </is>
      </c>
      <c r="F115">
        <f>IF(E115="Income","Revenue",IF(OR(E115="Materials",E115="Labor",E115="Dump Fees"),"COGS",IF(OR(E115="Fuel",E115="Insurance",E115="Tools",E115="Repairs"),"Expense","Non-Deductible")))</f>
        <v/>
      </c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  <c r="E116" t="inlineStr">
        <is>
          <t>Tools</t>
        </is>
      </c>
      <c r="F116">
        <f>IF(E116="Income","Revenue",IF(OR(E116="Materials",E116="Labor",E116="Dump Fees"),"COGS",IF(OR(E116="Fuel",E116="Insurance",E116="Tools",E116="Repairs"),"Expense","Non-Deductible")))</f>
        <v/>
      </c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  <c r="E117" t="inlineStr">
        <is>
          <t>Materials</t>
        </is>
      </c>
      <c r="F117">
        <f>IF(E117="Income","Revenue",IF(OR(E117="Materials",E117="Labor",E117="Dump Fees"),"COGS",IF(OR(E117="Fuel",E117="Insurance",E117="Tools",E117="Repairs"),"Expense","Non-Deductible")))</f>
        <v/>
      </c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  <c r="E119" t="inlineStr">
        <is>
          <t>Materials</t>
        </is>
      </c>
      <c r="F119">
        <f>IF(E119="Income","Revenue",IF(OR(E119="Materials",E119="Labor",E119="Dump Fees"),"COGS",IF(OR(E119="Fuel",E119="Insurance",E119="Tools",E119="Repairs"),"Expense","Non-Deductible")))</f>
        <v/>
      </c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  <c r="E120" t="inlineStr">
        <is>
          <t>Fuel</t>
        </is>
      </c>
      <c r="F120">
        <f>IF(E120="Income","Revenue",IF(OR(E120="Materials",E120="Labor",E120="Dump Fees"),"COGS",IF(OR(E120="Fuel",E120="Insurance",E120="Tools",E120="Repairs"),"Expense","Non-Deductible")))</f>
        <v/>
      </c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  <c r="E121" t="inlineStr">
        <is>
          <t>Labor</t>
        </is>
      </c>
      <c r="F121">
        <f>IF(E121="Income","Revenue",IF(OR(E121="Materials",E121="Labor",E121="Dump Fees"),"COGS",IF(OR(E121="Fuel",E121="Insurance",E121="Tools",E121="Repairs"),"Expense","Non-Deductible")))</f>
        <v/>
      </c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  <c r="E122" t="inlineStr">
        <is>
          <t>Tools</t>
        </is>
      </c>
      <c r="F122">
        <f>IF(E122="Income","Revenue",IF(OR(E122="Materials",E122="Labor",E122="Dump Fees"),"COGS",IF(OR(E122="Fuel",E122="Insurance",E122="Tools",E122="Repairs"),"Expense","Non-Deductible")))</f>
        <v/>
      </c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  <c r="E123" t="inlineStr">
        <is>
          <t>Utilities</t>
        </is>
      </c>
      <c r="F123">
        <f>IF(E123="Income","Revenue",IF(OR(E123="Materials",E123="Labor",E123="Dump Fees"),"COGS",IF(OR(E123="Fuel",E123="Insurance",E123="Tools",E123="Repairs"),"Expense","Non-Deductible")))</f>
        <v/>
      </c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  <c r="E124" t="inlineStr">
        <is>
          <t>Utilities</t>
        </is>
      </c>
      <c r="F124">
        <f>IF(E124="Income","Revenue",IF(OR(E124="Materials",E124="Labor",E124="Dump Fees"),"COGS",IF(OR(E124="Fuel",E124="Insurance",E124="Tools",E124="Repairs"),"Expense","Non-Deductible")))</f>
        <v/>
      </c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  <c r="E125" t="inlineStr">
        <is>
          <t>Materials</t>
        </is>
      </c>
      <c r="F125">
        <f>IF(E125="Income","Revenue",IF(OR(E125="Materials",E125="Labor",E125="Dump Fees"),"COGS",IF(OR(E125="Fuel",E125="Insurance",E125="Tools",E125="Repairs"),"Expense","Non-Deductible")))</f>
        <v/>
      </c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  <c r="E126" t="inlineStr">
        <is>
          <t>Utilities</t>
        </is>
      </c>
      <c r="F126">
        <f>IF(E126="Income","Revenue",IF(OR(E126="Materials",E126="Labor",E126="Dump Fees"),"COGS",IF(OR(E126="Fuel",E126="Insurance",E126="Tools",E126="Repairs"),"Expense","Non-Deductible")))</f>
        <v/>
      </c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  <c r="E128" t="inlineStr">
        <is>
          <t>Tools</t>
        </is>
      </c>
      <c r="F128">
        <f>IF(E128="Income","Revenue",IF(OR(E128="Materials",E128="Labor",E128="Dump Fees"),"COGS",IF(OR(E128="Fuel",E128="Insurance",E128="Tools",E128="Repairs"),"Expense","Non-Deductible")))</f>
        <v/>
      </c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  <c r="E130" t="inlineStr">
        <is>
          <t>Materials</t>
        </is>
      </c>
      <c r="F130">
        <f>IF(E130="Income","Revenue",IF(OR(E130="Materials",E130="Labor",E130="Dump Fees"),"COGS",IF(OR(E130="Fuel",E130="Insurance",E130="Tools",E130="Repairs"),"Expense","Non-Deductible")))</f>
        <v/>
      </c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  <c r="E131" t="inlineStr">
        <is>
          <t>Materials</t>
        </is>
      </c>
      <c r="F131">
        <f>IF(E131="Income","Revenue",IF(OR(E131="Materials",E131="Labor",E131="Dump Fees"),"COGS",IF(OR(E131="Fuel",E131="Insurance",E131="Tools",E131="Repairs"),"Expense","Non-Deductible")))</f>
        <v/>
      </c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  <c r="E133" t="inlineStr">
        <is>
          <t>Fuel</t>
        </is>
      </c>
      <c r="F133">
        <f>IF(E133="Income","Revenue",IF(OR(E133="Materials",E133="Labor",E133="Dump Fees"),"COGS",IF(OR(E133="Fuel",E133="Insurance",E133="Tools",E133="Repairs"),"Expense","Non-Deductible")))</f>
        <v/>
      </c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  <c r="E136" t="inlineStr">
        <is>
          <t>Tools</t>
        </is>
      </c>
      <c r="F136">
        <f>IF(E136="Income","Revenue",IF(OR(E136="Materials",E136="Labor",E136="Dump Fees"),"COGS",IF(OR(E136="Fuel",E136="Insurance",E136="Tools",E136="Repairs"),"Expense","Non-Deductible")))</f>
        <v/>
      </c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  <c r="E138" t="inlineStr">
        <is>
          <t>Fuel</t>
        </is>
      </c>
      <c r="F138">
        <f>IF(E138="Income","Revenue",IF(OR(E138="Materials",E138="Labor",E138="Dump Fees"),"COGS",IF(OR(E138="Fuel",E138="Insurance",E138="Tools",E138="Repairs"),"Expense","Non-Deductible")))</f>
        <v/>
      </c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  <c r="E139" t="inlineStr">
        <is>
          <t>Materials</t>
        </is>
      </c>
      <c r="F139">
        <f>IF(E139="Income","Revenue",IF(OR(E139="Materials",E139="Labor",E139="Dump Fees"),"COGS",IF(OR(E139="Fuel",E139="Insurance",E139="Tools",E139="Repairs"),"Expense","Non-Deductible")))</f>
        <v/>
      </c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  <c r="E142" t="inlineStr">
        <is>
          <t>Tools</t>
        </is>
      </c>
      <c r="F142">
        <f>IF(E142="Income","Revenue",IF(OR(E142="Materials",E142="Labor",E142="Dump Fees"),"COGS",IF(OR(E142="Fuel",E142="Insurance",E142="Tools",E142="Repairs"),"Expense","Non-Deductible")))</f>
        <v/>
      </c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  <c r="E143" t="inlineStr">
        <is>
          <t>Tools</t>
        </is>
      </c>
      <c r="F143">
        <f>IF(E143="Income","Revenue",IF(OR(E143="Materials",E143="Labor",E143="Dump Fees"),"COGS",IF(OR(E143="Fuel",E143="Insurance",E143="Tools",E143="Repairs"),"Expense","Non-Deductible")))</f>
        <v/>
      </c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  <c r="E144" t="inlineStr">
        <is>
          <t>Tools</t>
        </is>
      </c>
      <c r="F144">
        <f>IF(E144="Income","Revenue",IF(OR(E144="Materials",E144="Labor",E144="Dump Fees"),"COGS",IF(OR(E144="Fuel",E144="Insurance",E144="Tools",E144="Repairs"),"Expense","Non-Deductible")))</f>
        <v/>
      </c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  <c r="E145" t="inlineStr">
        <is>
          <t>Tools</t>
        </is>
      </c>
      <c r="F145">
        <f>IF(E145="Income","Revenue",IF(OR(E145="Materials",E145="Labor",E145="Dump Fees"),"COGS",IF(OR(E145="Fuel",E145="Insurance",E145="Tools",E145="Repairs"),"Expense","Non-Deductible")))</f>
        <v/>
      </c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  <c r="E146" t="inlineStr">
        <is>
          <t>Labor</t>
        </is>
      </c>
      <c r="F146">
        <f>IF(E146="Income","Revenue",IF(OR(E146="Materials",E146="Labor",E146="Dump Fees"),"COGS",IF(OR(E146="Fuel",E146="Insurance",E146="Tools",E146="Repairs"),"Expense","Non-Deductible")))</f>
        <v/>
      </c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  <c r="E149" t="inlineStr">
        <is>
          <t>Utilities</t>
        </is>
      </c>
      <c r="F149">
        <f>IF(E149="Income","Revenue",IF(OR(E149="Materials",E149="Labor",E149="Dump Fees"),"COGS",IF(OR(E149="Fuel",E149="Insurance",E149="Tools",E149="Repairs"),"Expense","Non-Deductible")))</f>
        <v/>
      </c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  <c r="E150" t="inlineStr">
        <is>
          <t>Utilities</t>
        </is>
      </c>
      <c r="F150">
        <f>IF(E150="Income","Revenue",IF(OR(E150="Materials",E150="Labor",E150="Dump Fees"),"COGS",IF(OR(E150="Fuel",E150="Insurance",E150="Tools",E150="Repairs"),"Expense","Non-Deductible")))</f>
        <v/>
      </c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  <c r="E151" t="inlineStr">
        <is>
          <t>Fuel</t>
        </is>
      </c>
      <c r="F151">
        <f>IF(E151="Income","Revenue",IF(OR(E151="Materials",E151="Labor",E151="Dump Fees"),"COGS",IF(OR(E151="Fuel",E151="Insurance",E151="Tools",E151="Repairs"),"Expense","Non-Deductible")))</f>
        <v/>
      </c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  <c r="E152" t="inlineStr">
        <is>
          <t>Fuel</t>
        </is>
      </c>
      <c r="F152">
        <f>IF(E152="Income","Revenue",IF(OR(E152="Materials",E152="Labor",E152="Dump Fees"),"COGS",IF(OR(E152="Fuel",E152="Insurance",E152="Tools",E152="Repairs"),"Expense","Non-Deductible")))</f>
        <v/>
      </c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  <c r="E153" t="inlineStr">
        <is>
          <t>Utilities</t>
        </is>
      </c>
      <c r="F153">
        <f>IF(E153="Income","Revenue",IF(OR(E153="Materials",E153="Labor",E153="Dump Fees"),"COGS",IF(OR(E153="Fuel",E153="Insurance",E153="Tools",E153="Repairs"),"Expense","Non-Deductible")))</f>
        <v/>
      </c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  <c r="E157" t="inlineStr">
        <is>
          <t>Insurance</t>
        </is>
      </c>
      <c r="F157">
        <f>IF(E157="Income","Revenue",IF(OR(E157="Materials",E157="Labor",E157="Dump Fees"),"COGS",IF(OR(E157="Fuel",E157="Insurance",E157="Tools",E157="Repairs"),"Expense","Non-Deductible")))</f>
        <v/>
      </c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  <c r="E158" t="inlineStr">
        <is>
          <t>Tools</t>
        </is>
      </c>
      <c r="F158">
        <f>IF(E158="Income","Revenue",IF(OR(E158="Materials",E158="Labor",E158="Dump Fees"),"COGS",IF(OR(E158="Fuel",E158="Insurance",E158="Tools",E158="Repairs"),"Expense","Non-Deductible")))</f>
        <v/>
      </c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  <c r="E159" t="inlineStr">
        <is>
          <t>Fuel</t>
        </is>
      </c>
      <c r="F159">
        <f>IF(E159="Income","Revenue",IF(OR(E159="Materials",E159="Labor",E159="Dump Fees"),"COGS",IF(OR(E159="Fuel",E159="Insurance",E159="Tools",E159="Repairs"),"Expense","Non-Deductible")))</f>
        <v/>
      </c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  <c r="E160" t="inlineStr">
        <is>
          <t>Tools</t>
        </is>
      </c>
      <c r="F160">
        <f>IF(E160="Income","Revenue",IF(OR(E160="Materials",E160="Labor",E160="Dump Fees"),"COGS",IF(OR(E160="Fuel",E160="Insurance",E160="Tools",E160="Repairs"),"Expense","Non-Deductible")))</f>
        <v/>
      </c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  <c r="E161" t="inlineStr">
        <is>
          <t>Fuel</t>
        </is>
      </c>
      <c r="F161">
        <f>IF(E161="Income","Revenue",IF(OR(E161="Materials",E161="Labor",E161="Dump Fees"),"COGS",IF(OR(E161="Fuel",E161="Insurance",E161="Tools",E161="Repairs"),"Expense","Non-Deductible")))</f>
        <v/>
      </c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  <c r="E163" t="inlineStr">
        <is>
          <t>Utilities</t>
        </is>
      </c>
      <c r="F163">
        <f>IF(E163="Income","Revenue",IF(OR(E163="Materials",E163="Labor",E163="Dump Fees"),"COGS",IF(OR(E163="Fuel",E163="Insurance",E163="Tools",E163="Repairs"),"Expense","Non-Deductible")))</f>
        <v/>
      </c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  <c r="E165" t="inlineStr">
        <is>
          <t>Tools</t>
        </is>
      </c>
      <c r="F165">
        <f>IF(E165="Income","Revenue",IF(OR(E165="Materials",E165="Labor",E165="Dump Fees"),"COGS",IF(OR(E165="Fuel",E165="Insurance",E165="Tools",E165="Repairs"),"Expense","Non-Deductible")))</f>
        <v/>
      </c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  <c r="E166" t="inlineStr">
        <is>
          <t>Tools</t>
        </is>
      </c>
      <c r="F166">
        <f>IF(E166="Income","Revenue",IF(OR(E166="Materials",E166="Labor",E166="Dump Fees"),"COGS",IF(OR(E166="Fuel",E166="Insurance",E166="Tools",E166="Repairs"),"Expense","Non-Deductible")))</f>
        <v/>
      </c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  <c r="E167" t="inlineStr">
        <is>
          <t>Tools</t>
        </is>
      </c>
      <c r="F167">
        <f>IF(E167="Income","Revenue",IF(OR(E167="Materials",E167="Labor",E167="Dump Fees"),"COGS",IF(OR(E167="Fuel",E167="Insurance",E167="Tools",E167="Repairs"),"Expense","Non-Deductible")))</f>
        <v/>
      </c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  <c r="E168" t="inlineStr">
        <is>
          <t>Utilities</t>
        </is>
      </c>
      <c r="F168">
        <f>IF(E168="Income","Revenue",IF(OR(E168="Materials",E168="Labor",E168="Dump Fees"),"COGS",IF(OR(E168="Fuel",E168="Insurance",E168="Tools",E168="Repairs"),"Expense","Non-Deductible")))</f>
        <v/>
      </c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  <c r="E169" t="inlineStr">
        <is>
          <t>Materials</t>
        </is>
      </c>
      <c r="F169">
        <f>IF(E169="Income","Revenue",IF(OR(E169="Materials",E169="Labor",E169="Dump Fees"),"COGS",IF(OR(E169="Fuel",E169="Insurance",E169="Tools",E169="Repairs"),"Expense","Non-Deductible")))</f>
        <v/>
      </c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  <c r="E170" t="inlineStr">
        <is>
          <t>Fuel</t>
        </is>
      </c>
      <c r="F170">
        <f>IF(E170="Income","Revenue",IF(OR(E170="Materials",E170="Labor",E170="Dump Fees"),"COGS",IF(OR(E170="Fuel",E170="Insurance",E170="Tools",E170="Repairs"),"Expense","Non-Deductible")))</f>
        <v/>
      </c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  <c r="E172" t="inlineStr">
        <is>
          <t>Utilities</t>
        </is>
      </c>
      <c r="F172">
        <f>IF(E172="Income","Revenue",IF(OR(E172="Materials",E172="Labor",E172="Dump Fees"),"COGS",IF(OR(E172="Fuel",E172="Insurance",E172="Tools",E172="Repairs"),"Expense","Non-Deductible")))</f>
        <v/>
      </c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  <c r="E175" t="inlineStr">
        <is>
          <t>Labor</t>
        </is>
      </c>
      <c r="F175">
        <f>IF(E175="Income","Revenue",IF(OR(E175="Materials",E175="Labor",E175="Dump Fees"),"COGS",IF(OR(E175="Fuel",E175="Insurance",E175="Tools",E175="Repairs"),"Expense","Non-Deductible")))</f>
        <v/>
      </c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  <c r="E176" t="inlineStr">
        <is>
          <t>Fuel</t>
        </is>
      </c>
      <c r="F176">
        <f>IF(E176="Income","Revenue",IF(OR(E176="Materials",E176="Labor",E176="Dump Fees"),"COGS",IF(OR(E176="Fuel",E176="Insurance",E176="Tools",E176="Repairs"),"Expense","Non-Deductible")))</f>
        <v/>
      </c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  <c r="E177" t="inlineStr">
        <is>
          <t>Fuel</t>
        </is>
      </c>
      <c r="F177">
        <f>IF(E177="Income","Revenue",IF(OR(E177="Materials",E177="Labor",E177="Dump Fees"),"COGS",IF(OR(E177="Fuel",E177="Insurance",E177="Tools",E177="Repairs"),"Expense","Non-Deductible")))</f>
        <v/>
      </c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  <c r="E183" t="inlineStr">
        <is>
          <t>Tools</t>
        </is>
      </c>
      <c r="F183">
        <f>IF(E183="Income","Revenue",IF(OR(E183="Materials",E183="Labor",E183="Dump Fees"),"COGS",IF(OR(E183="Fuel",E183="Insurance",E183="Tools",E183="Repairs"),"Expense","Non-Deductible")))</f>
        <v/>
      </c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  <c r="E184" t="inlineStr">
        <is>
          <t>Materials</t>
        </is>
      </c>
      <c r="F184">
        <f>IF(E184="Income","Revenue",IF(OR(E184="Materials",E184="Labor",E184="Dump Fees"),"COGS",IF(OR(E184="Fuel",E184="Insurance",E184="Tools",E184="Repairs"),"Expense","Non-Deductible")))</f>
        <v/>
      </c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  <c r="E188" t="inlineStr">
        <is>
          <t>Materials</t>
        </is>
      </c>
      <c r="F188">
        <f>IF(E188="Income","Revenue",IF(OR(E188="Materials",E188="Labor",E188="Dump Fees"),"COGS",IF(OR(E188="Fuel",E188="Insurance",E188="Tools",E188="Repairs"),"Expense","Non-Deductible")))</f>
        <v/>
      </c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  <c r="E189" t="inlineStr">
        <is>
          <t>Utilities</t>
        </is>
      </c>
      <c r="F189">
        <f>IF(E189="Income","Revenue",IF(OR(E189="Materials",E189="Labor",E189="Dump Fees"),"COGS",IF(OR(E189="Fuel",E189="Insurance",E189="Tools",E189="Repairs"),"Expense","Non-Deductible")))</f>
        <v/>
      </c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  <c r="E190" t="inlineStr">
        <is>
          <t>Fuel</t>
        </is>
      </c>
      <c r="F190">
        <f>IF(E190="Income","Revenue",IF(OR(E190="Materials",E190="Labor",E190="Dump Fees"),"COGS",IF(OR(E190="Fuel",E190="Insurance",E190="Tools",E190="Repairs"),"Expense","Non-Deductible")))</f>
        <v/>
      </c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  <c r="E191" t="inlineStr">
        <is>
          <t>Fuel</t>
        </is>
      </c>
      <c r="F191">
        <f>IF(E191="Income","Revenue",IF(OR(E191="Materials",E191="Labor",E191="Dump Fees"),"COGS",IF(OR(E191="Fuel",E191="Insurance",E191="Tools",E191="Repairs"),"Expense","Non-Deductible")))</f>
        <v/>
      </c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  <c r="E193" t="inlineStr">
        <is>
          <t>Tools</t>
        </is>
      </c>
      <c r="F193">
        <f>IF(E193="Income","Revenue",IF(OR(E193="Materials",E193="Labor",E193="Dump Fees"),"COGS",IF(OR(E193="Fuel",E193="Insurance",E193="Tools",E193="Repairs"),"Expense","Non-Deductible")))</f>
        <v/>
      </c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  <c r="E194" t="inlineStr">
        <is>
          <t>Materials</t>
        </is>
      </c>
      <c r="F194">
        <f>IF(E194="Income","Revenue",IF(OR(E194="Materials",E194="Labor",E194="Dump Fees"),"COGS",IF(OR(E194="Fuel",E194="Insurance",E194="Tools",E194="Repairs"),"Expense","Non-Deductible")))</f>
        <v/>
      </c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  <c r="E195" t="inlineStr">
        <is>
          <t>Materials</t>
        </is>
      </c>
      <c r="F195">
        <f>IF(E195="Income","Revenue",IF(OR(E195="Materials",E195="Labor",E195="Dump Fees"),"COGS",IF(OR(E195="Fuel",E195="Insurance",E195="Tools",E195="Repairs"),"Expense","Non-Deductible")))</f>
        <v/>
      </c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  <c r="E196" t="inlineStr">
        <is>
          <t>Fuel</t>
        </is>
      </c>
      <c r="F196">
        <f>IF(E196="Income","Revenue",IF(OR(E196="Materials",E196="Labor",E196="Dump Fees"),"COGS",IF(OR(E196="Fuel",E196="Insurance",E196="Tools",E196="Repairs"),"Expense","Non-Deductible")))</f>
        <v/>
      </c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  <c r="E197" t="inlineStr">
        <is>
          <t>Fuel</t>
        </is>
      </c>
      <c r="F197">
        <f>IF(E197="Income","Revenue",IF(OR(E197="Materials",E197="Labor",E197="Dump Fees"),"COGS",IF(OR(E197="Fuel",E197="Insurance",E197="Tools",E197="Repairs"),"Expense","Non-Deductible")))</f>
        <v/>
      </c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  <c r="E198" t="inlineStr">
        <is>
          <t>Tools</t>
        </is>
      </c>
      <c r="F198">
        <f>IF(E198="Income","Revenue",IF(OR(E198="Materials",E198="Labor",E198="Dump Fees"),"COGS",IF(OR(E198="Fuel",E198="Insurance",E198="Tools",E198="Repairs"),"Expense","Non-Deductible")))</f>
        <v/>
      </c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  <c r="E200" t="inlineStr">
        <is>
          <t>Materials</t>
        </is>
      </c>
      <c r="F200">
        <f>IF(E200="Income","Revenue",IF(OR(E200="Materials",E200="Labor",E200="Dump Fees"),"COGS",IF(OR(E200="Fuel",E200="Insurance",E200="Tools",E200="Repairs"),"Expense","Non-Deductible")))</f>
        <v/>
      </c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  <c r="E201" t="inlineStr">
        <is>
          <t>Utilities</t>
        </is>
      </c>
      <c r="F201">
        <f>IF(E201="Income","Revenue",IF(OR(E201="Materials",E201="Labor",E201="Dump Fees"),"COGS",IF(OR(E201="Fuel",E201="Insurance",E201="Tools",E201="Repairs"),"Expense","Non-Deductible")))</f>
        <v/>
      </c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  <c r="E202" t="inlineStr">
        <is>
          <t>Utilities</t>
        </is>
      </c>
      <c r="F202">
        <f>IF(E202="Income","Revenue",IF(OR(E202="Materials",E202="Labor",E202="Dump Fees"),"COGS",IF(OR(E202="Fuel",E202="Insurance",E202="Tools",E202="Repairs"),"Expense","Non-Deductible")))</f>
        <v/>
      </c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  <c r="E204" t="inlineStr">
        <is>
          <t>Fuel</t>
        </is>
      </c>
      <c r="F204">
        <f>IF(E204="Income","Revenue",IF(OR(E204="Materials",E204="Labor",E204="Dump Fees"),"COGS",IF(OR(E204="Fuel",E204="Insurance",E204="Tools",E204="Repairs"),"Expense","Non-Deductible")))</f>
        <v/>
      </c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  <c r="E205" t="inlineStr">
        <is>
          <t>Fuel</t>
        </is>
      </c>
      <c r="F205">
        <f>IF(E205="Income","Revenue",IF(OR(E205="Materials",E205="Labor",E205="Dump Fees"),"COGS",IF(OR(E205="Fuel",E205="Insurance",E205="Tools",E205="Repairs"),"Expense","Non-Deductible")))</f>
        <v/>
      </c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  <c r="E207" t="inlineStr">
        <is>
          <t>Tools</t>
        </is>
      </c>
      <c r="F207">
        <f>IF(E207="Income","Revenue",IF(OR(E207="Materials",E207="Labor",E207="Dump Fees"),"COGS",IF(OR(E207="Fuel",E207="Insurance",E207="Tools",E207="Repairs"),"Expense","Non-Deductible")))</f>
        <v/>
      </c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  <c r="E208" t="inlineStr">
        <is>
          <t>Tools</t>
        </is>
      </c>
      <c r="F208">
        <f>IF(E208="Income","Revenue",IF(OR(E208="Materials",E208="Labor",E208="Dump Fees"),"COGS",IF(OR(E208="Fuel",E208="Insurance",E208="Tools",E208="Repairs"),"Expense","Non-Deductible")))</f>
        <v/>
      </c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  <c r="E209" t="inlineStr">
        <is>
          <t>Labor</t>
        </is>
      </c>
      <c r="F209">
        <f>IF(E209="Income","Revenue",IF(OR(E209="Materials",E209="Labor",E209="Dump Fees"),"COGS",IF(OR(E209="Fuel",E209="Insurance",E209="Tools",E209="Repairs"),"Expense","Non-Deductible")))</f>
        <v/>
      </c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  <c r="E210" t="inlineStr">
        <is>
          <t>Materials</t>
        </is>
      </c>
      <c r="F210">
        <f>IF(E210="Income","Revenue",IF(OR(E210="Materials",E210="Labor",E210="Dump Fees"),"COGS",IF(OR(E210="Fuel",E210="Insurance",E210="Tools",E210="Repairs"),"Expense","Non-Deductible")))</f>
        <v/>
      </c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  <c r="E212" t="inlineStr">
        <is>
          <t>Materials</t>
        </is>
      </c>
      <c r="F212">
        <f>IF(E212="Income","Revenue",IF(OR(E212="Materials",E212="Labor",E212="Dump Fees"),"COGS",IF(OR(E212="Fuel",E212="Insurance",E212="Tools",E212="Repairs"),"Expense","Non-Deductible")))</f>
        <v/>
      </c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  <c r="E213" t="inlineStr">
        <is>
          <t>Utilities</t>
        </is>
      </c>
      <c r="F213">
        <f>IF(E213="Income","Revenue",IF(OR(E213="Materials",E213="Labor",E213="Dump Fees"),"COGS",IF(OR(E213="Fuel",E213="Insurance",E213="Tools",E213="Repairs"),"Expense","Non-Deductible")))</f>
        <v/>
      </c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  <c r="E214" t="inlineStr">
        <is>
          <t>Fuel</t>
        </is>
      </c>
      <c r="F214">
        <f>IF(E214="Income","Revenue",IF(OR(E214="Materials",E214="Labor",E214="Dump Fees"),"COGS",IF(OR(E214="Fuel",E214="Insurance",E214="Tools",E214="Repairs"),"Expense","Non-Deductible")))</f>
        <v/>
      </c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  <c r="E215" t="inlineStr">
        <is>
          <t>Utilities</t>
        </is>
      </c>
      <c r="F215">
        <f>IF(E215="Income","Revenue",IF(OR(E215="Materials",E215="Labor",E215="Dump Fees"),"COGS",IF(OR(E215="Fuel",E215="Insurance",E215="Tools",E215="Repairs"),"Expense","Non-Deductible")))</f>
        <v/>
      </c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  <c r="E216" t="inlineStr">
        <is>
          <t>Fuel</t>
        </is>
      </c>
      <c r="F216">
        <f>IF(E216="Income","Revenue",IF(OR(E216="Materials",E216="Labor",E216="Dump Fees"),"COGS",IF(OR(E216="Fuel",E216="Insurance",E216="Tools",E216="Repairs"),"Expense","Non-Deductible")))</f>
        <v/>
      </c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  <c r="E217" t="inlineStr">
        <is>
          <t>Tools</t>
        </is>
      </c>
      <c r="F217">
        <f>IF(E217="Income","Revenue",IF(OR(E217="Materials",E217="Labor",E217="Dump Fees"),"COGS",IF(OR(E217="Fuel",E217="Insurance",E217="Tools",E217="Repairs"),"Expense","Non-Deductible")))</f>
        <v/>
      </c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  <c r="E220" t="inlineStr">
        <is>
          <t>Materials</t>
        </is>
      </c>
      <c r="F220">
        <f>IF(E220="Income","Revenue",IF(OR(E220="Materials",E220="Labor",E220="Dump Fees"),"COGS",IF(OR(E220="Fuel",E220="Insurance",E220="Tools",E220="Repairs"),"Expense","Non-Deductible")))</f>
        <v/>
      </c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  <c r="E221" t="inlineStr">
        <is>
          <t>Tools</t>
        </is>
      </c>
      <c r="F221">
        <f>IF(E221="Income","Revenue",IF(OR(E221="Materials",E221="Labor",E221="Dump Fees"),"COGS",IF(OR(E221="Fuel",E221="Insurance",E221="Tools",E221="Repairs"),"Expense","Non-Deductible")))</f>
        <v/>
      </c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  <c r="E222" t="inlineStr">
        <is>
          <t>Insurance</t>
        </is>
      </c>
      <c r="F222">
        <f>IF(E222="Income","Revenue",IF(OR(E222="Materials",E222="Labor",E222="Dump Fees"),"COGS",IF(OR(E222="Fuel",E222="Insurance",E222="Tools",E222="Repairs"),"Expense","Non-Deductible")))</f>
        <v/>
      </c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  <c r="E223" t="inlineStr">
        <is>
          <t>Tools</t>
        </is>
      </c>
      <c r="F223">
        <f>IF(E223="Income","Revenue",IF(OR(E223="Materials",E223="Labor",E223="Dump Fees"),"COGS",IF(OR(E223="Fuel",E223="Insurance",E223="Tools",E223="Repairs"),"Expense","Non-Deductible")))</f>
        <v/>
      </c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  <c r="E227" t="inlineStr">
        <is>
          <t>Tools</t>
        </is>
      </c>
      <c r="F227">
        <f>IF(E227="Income","Revenue",IF(OR(E227="Materials",E227="Labor",E227="Dump Fees"),"COGS",IF(OR(E227="Fuel",E227="Insurance",E227="Tools",E227="Repairs"),"Expense","Non-Deductible")))</f>
        <v/>
      </c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  <c r="E228" t="inlineStr">
        <is>
          <t>Tools</t>
        </is>
      </c>
      <c r="F228">
        <f>IF(E228="Income","Revenue",IF(OR(E228="Materials",E228="Labor",E228="Dump Fees"),"COGS",IF(OR(E228="Fuel",E228="Insurance",E228="Tools",E228="Repairs"),"Expense","Non-Deductible")))</f>
        <v/>
      </c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  <c r="E229" t="inlineStr">
        <is>
          <t>Materials</t>
        </is>
      </c>
      <c r="F229">
        <f>IF(E229="Income","Revenue",IF(OR(E229="Materials",E229="Labor",E229="Dump Fees"),"COGS",IF(OR(E229="Fuel",E229="Insurance",E229="Tools",E229="Repairs"),"Expense","Non-Deductible")))</f>
        <v/>
      </c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  <c r="E230" t="inlineStr">
        <is>
          <t>Materials</t>
        </is>
      </c>
      <c r="F230">
        <f>IF(E230="Income","Revenue",IF(OR(E230="Materials",E230="Labor",E230="Dump Fees"),"COGS",IF(OR(E230="Fuel",E230="Insurance",E230="Tools",E230="Repairs"),"Expense","Non-Deductible")))</f>
        <v/>
      </c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  <c r="E231" t="inlineStr">
        <is>
          <t>Materials</t>
        </is>
      </c>
      <c r="F231">
        <f>IF(E231="Income","Revenue",IF(OR(E231="Materials",E231="Labor",E231="Dump Fees"),"COGS",IF(OR(E231="Fuel",E231="Insurance",E231="Tools",E231="Repairs"),"Expense","Non-Deductible")))</f>
        <v/>
      </c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  <c r="E233" t="inlineStr">
        <is>
          <t>Fuel</t>
        </is>
      </c>
      <c r="F233">
        <f>IF(E233="Income","Revenue",IF(OR(E233="Materials",E233="Labor",E233="Dump Fees"),"COGS",IF(OR(E233="Fuel",E233="Insurance",E233="Tools",E233="Repairs"),"Expense","Non-Deductible")))</f>
        <v/>
      </c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  <c r="E234" t="inlineStr">
        <is>
          <t>Materials</t>
        </is>
      </c>
      <c r="F234">
        <f>IF(E234="Income","Revenue",IF(OR(E234="Materials",E234="Labor",E234="Dump Fees"),"COGS",IF(OR(E234="Fuel",E234="Insurance",E234="Tools",E234="Repairs"),"Expense","Non-Deductible")))</f>
        <v/>
      </c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  <c r="E235" t="inlineStr">
        <is>
          <t>Tools</t>
        </is>
      </c>
      <c r="F235">
        <f>IF(E235="Income","Revenue",IF(OR(E235="Materials",E235="Labor",E235="Dump Fees"),"COGS",IF(OR(E235="Fuel",E235="Insurance",E235="Tools",E235="Repairs"),"Expense","Non-Deductible")))</f>
        <v/>
      </c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  <c r="E237" t="inlineStr">
        <is>
          <t>Materials</t>
        </is>
      </c>
      <c r="F237">
        <f>IF(E237="Income","Revenue",IF(OR(E237="Materials",E237="Labor",E237="Dump Fees"),"COGS",IF(OR(E237="Fuel",E237="Insurance",E237="Tools",E237="Repairs"),"Expense","Non-Deductible")))</f>
        <v/>
      </c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  <c r="E238" t="inlineStr">
        <is>
          <t>Materials</t>
        </is>
      </c>
      <c r="F238">
        <f>IF(E238="Income","Revenue",IF(OR(E238="Materials",E238="Labor",E238="Dump Fees"),"COGS",IF(OR(E238="Fuel",E238="Insurance",E238="Tools",E238="Repairs"),"Expense","Non-Deductible")))</f>
        <v/>
      </c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  <c r="E239" t="inlineStr">
        <is>
          <t>Fuel</t>
        </is>
      </c>
      <c r="F239">
        <f>IF(E239="Income","Revenue",IF(OR(E239="Materials",E239="Labor",E239="Dump Fees"),"COGS",IF(OR(E239="Fuel",E239="Insurance",E239="Tools",E239="Repairs"),"Expense","Non-Deductible")))</f>
        <v/>
      </c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  <c r="E241" t="inlineStr">
        <is>
          <t>Utilities</t>
        </is>
      </c>
      <c r="F241">
        <f>IF(E241="Income","Revenue",IF(OR(E241="Materials",E241="Labor",E241="Dump Fees"),"COGS",IF(OR(E241="Fuel",E241="Insurance",E241="Tools",E241="Repairs"),"Expense","Non-Deductible")))</f>
        <v/>
      </c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  <c r="E242" t="inlineStr">
        <is>
          <t>Utilities</t>
        </is>
      </c>
      <c r="F242">
        <f>IF(E242="Income","Revenue",IF(OR(E242="Materials",E242="Labor",E242="Dump Fees"),"COGS",IF(OR(E242="Fuel",E242="Insurance",E242="Tools",E242="Repairs"),"Expense","Non-Deductible")))</f>
        <v/>
      </c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  <c r="E243" t="inlineStr">
        <is>
          <t>Tools</t>
        </is>
      </c>
      <c r="F243">
        <f>IF(E243="Income","Revenue",IF(OR(E243="Materials",E243="Labor",E243="Dump Fees"),"COGS",IF(OR(E243="Fuel",E243="Insurance",E243="Tools",E243="Repairs"),"Expense","Non-Deductible")))</f>
        <v/>
      </c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  <c r="E244" t="inlineStr">
        <is>
          <t>Tools</t>
        </is>
      </c>
      <c r="F244">
        <f>IF(E244="Income","Revenue",IF(OR(E244="Materials",E244="Labor",E244="Dump Fees"),"COGS",IF(OR(E244="Fuel",E244="Insurance",E244="Tools",E244="Repairs"),"Expense","Non-Deductible")))</f>
        <v/>
      </c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  <c r="E245" t="inlineStr">
        <is>
          <t>Tools</t>
        </is>
      </c>
      <c r="F245">
        <f>IF(E245="Income","Revenue",IF(OR(E245="Materials",E245="Labor",E245="Dump Fees"),"COGS",IF(OR(E245="Fuel",E245="Insurance",E245="Tools",E245="Repairs"),"Expense","Non-Deductible")))</f>
        <v/>
      </c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  <c r="E246" t="inlineStr">
        <is>
          <t>Tools</t>
        </is>
      </c>
      <c r="F246">
        <f>IF(E246="Income","Revenue",IF(OR(E246="Materials",E246="Labor",E246="Dump Fees"),"COGS",IF(OR(E246="Fuel",E246="Insurance",E246="Tools",E246="Repairs"),"Expense","Non-Deductible")))</f>
        <v/>
      </c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  <c r="E249" t="inlineStr">
        <is>
          <t>Fuel</t>
        </is>
      </c>
      <c r="F249">
        <f>IF(E249="Income","Revenue",IF(OR(E249="Materials",E249="Labor",E249="Dump Fees"),"COGS",IF(OR(E249="Fuel",E249="Insurance",E249="Tools",E249="Repairs"),"Expense","Non-Deductible")))</f>
        <v/>
      </c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  <c r="E250" t="inlineStr">
        <is>
          <t>Fuel</t>
        </is>
      </c>
      <c r="F250">
        <f>IF(E250="Income","Revenue",IF(OR(E250="Materials",E250="Labor",E250="Dump Fees"),"COGS",IF(OR(E250="Fuel",E250="Insurance",E250="Tools",E250="Repairs"),"Expense","Non-Deductible")))</f>
        <v/>
      </c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  <c r="E251" t="inlineStr">
        <is>
          <t>Fuel</t>
        </is>
      </c>
      <c r="F251">
        <f>IF(E251="Income","Revenue",IF(OR(E251="Materials",E251="Labor",E251="Dump Fees"),"COGS",IF(OR(E251="Fuel",E251="Insurance",E251="Tools",E251="Repairs"),"Expense","Non-Deductible")))</f>
        <v/>
      </c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  <c r="E253" t="inlineStr">
        <is>
          <t>Materials</t>
        </is>
      </c>
      <c r="F253">
        <f>IF(E253="Income","Revenue",IF(OR(E253="Materials",E253="Labor",E253="Dump Fees"),"COGS",IF(OR(E253="Fuel",E253="Insurance",E253="Tools",E253="Repairs"),"Expense","Non-Deductible")))</f>
        <v/>
      </c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  <c r="E255" t="inlineStr">
        <is>
          <t>Fuel</t>
        </is>
      </c>
      <c r="F255">
        <f>IF(E255="Income","Revenue",IF(OR(E255="Materials",E255="Labor",E255="Dump Fees"),"COGS",IF(OR(E255="Fuel",E255="Insurance",E255="Tools",E255="Repairs"),"Expense","Non-Deductible")))</f>
        <v/>
      </c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  <c r="E260" t="inlineStr">
        <is>
          <t>Utilities</t>
        </is>
      </c>
      <c r="F260">
        <f>IF(E260="Income","Revenue",IF(OR(E260="Materials",E260="Labor",E260="Dump Fees"),"COGS",IF(OR(E260="Fuel",E260="Insurance",E260="Tools",E260="Repairs"),"Expense","Non-Deductible")))</f>
        <v/>
      </c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  <c r="E264" t="inlineStr">
        <is>
          <t>Fuel</t>
        </is>
      </c>
      <c r="F264">
        <f>IF(E264="Income","Revenue",IF(OR(E264="Materials",E264="Labor",E264="Dump Fees"),"COGS",IF(OR(E264="Fuel",E264="Insurance",E264="Tools",E264="Repairs"),"Expense","Non-Deductible")))</f>
        <v/>
      </c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  <c r="E265" t="inlineStr">
        <is>
          <t>Tools</t>
        </is>
      </c>
      <c r="F265">
        <f>IF(E265="Income","Revenue",IF(OR(E265="Materials",E265="Labor",E265="Dump Fees"),"COGS",IF(OR(E265="Fuel",E265="Insurance",E265="Tools",E265="Repairs"),"Expense","Non-Deductible")))</f>
        <v/>
      </c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  <c r="E268" t="inlineStr">
        <is>
          <t>Materials</t>
        </is>
      </c>
      <c r="F268">
        <f>IF(E268="Income","Revenue",IF(OR(E268="Materials",E268="Labor",E268="Dump Fees"),"COGS",IF(OR(E268="Fuel",E268="Insurance",E268="Tools",E268="Repairs"),"Expense","Non-Deductible")))</f>
        <v/>
      </c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  <c r="E269" t="inlineStr">
        <is>
          <t>Materials</t>
        </is>
      </c>
      <c r="F269">
        <f>IF(E269="Income","Revenue",IF(OR(E269="Materials",E269="Labor",E269="Dump Fees"),"COGS",IF(OR(E269="Fuel",E269="Insurance",E269="Tools",E269="Repairs"),"Expense","Non-Deductible")))</f>
        <v/>
      </c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  <c r="E270" t="inlineStr">
        <is>
          <t>Fuel</t>
        </is>
      </c>
      <c r="F270">
        <f>IF(E270="Income","Revenue",IF(OR(E270="Materials",E270="Labor",E270="Dump Fees"),"COGS",IF(OR(E270="Fuel",E270="Insurance",E270="Tools",E270="Repairs"),"Expense","Non-Deductible")))</f>
        <v/>
      </c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  <c r="E272" t="inlineStr">
        <is>
          <t>Fuel</t>
        </is>
      </c>
      <c r="F272">
        <f>IF(E272="Income","Revenue",IF(OR(E272="Materials",E272="Labor",E272="Dump Fees"),"COGS",IF(OR(E272="Fuel",E272="Insurance",E272="Tools",E272="Repairs"),"Expense","Non-Deductible")))</f>
        <v/>
      </c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  <c r="E275" t="inlineStr">
        <is>
          <t>Tools</t>
        </is>
      </c>
      <c r="F275">
        <f>IF(E275="Income","Revenue",IF(OR(E275="Materials",E275="Labor",E275="Dump Fees"),"COGS",IF(OR(E275="Fuel",E275="Insurance",E275="Tools",E275="Repairs"),"Expense","Non-Deductible")))</f>
        <v/>
      </c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  <c r="E276" t="inlineStr">
        <is>
          <t>Fuel</t>
        </is>
      </c>
      <c r="F276">
        <f>IF(E276="Income","Revenue",IF(OR(E276="Materials",E276="Labor",E276="Dump Fees"),"COGS",IF(OR(E276="Fuel",E276="Insurance",E276="Tools",E276="Repairs"),"Expense","Non-Deductible")))</f>
        <v/>
      </c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  <c r="E277" t="inlineStr">
        <is>
          <t>Tools</t>
        </is>
      </c>
      <c r="F277">
        <f>IF(E277="Income","Revenue",IF(OR(E277="Materials",E277="Labor",E277="Dump Fees"),"COGS",IF(OR(E277="Fuel",E277="Insurance",E277="Tools",E277="Repairs"),"Expense","Non-Deductible")))</f>
        <v/>
      </c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  <c r="E278" t="inlineStr">
        <is>
          <t>Insurance</t>
        </is>
      </c>
      <c r="F278">
        <f>IF(E278="Income","Revenue",IF(OR(E278="Materials",E278="Labor",E278="Dump Fees"),"COGS",IF(OR(E278="Fuel",E278="Insurance",E278="Tools",E278="Repairs"),"Expense","Non-Deductible")))</f>
        <v/>
      </c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  <c r="E279" t="inlineStr">
        <is>
          <t>Tools</t>
        </is>
      </c>
      <c r="F279">
        <f>IF(E279="Income","Revenue",IF(OR(E279="Materials",E279="Labor",E279="Dump Fees"),"COGS",IF(OR(E279="Fuel",E279="Insurance",E279="Tools",E279="Repairs"),"Expense","Non-Deductible")))</f>
        <v/>
      </c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  <c r="E280" t="inlineStr">
        <is>
          <t>Utilities</t>
        </is>
      </c>
      <c r="F280">
        <f>IF(E280="Income","Revenue",IF(OR(E280="Materials",E280="Labor",E280="Dump Fees"),"COGS",IF(OR(E280="Fuel",E280="Insurance",E280="Tools",E280="Repairs"),"Expense","Non-Deductible")))</f>
        <v/>
      </c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  <c r="E282" t="inlineStr">
        <is>
          <t>Materials</t>
        </is>
      </c>
      <c r="F282">
        <f>IF(E282="Income","Revenue",IF(OR(E282="Materials",E282="Labor",E282="Dump Fees"),"COGS",IF(OR(E282="Fuel",E282="Insurance",E282="Tools",E282="Repairs"),"Expense","Non-Deductible")))</f>
        <v/>
      </c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  <c r="E283" t="inlineStr">
        <is>
          <t>Utilities</t>
        </is>
      </c>
      <c r="F283">
        <f>IF(E283="Income","Revenue",IF(OR(E283="Materials",E283="Labor",E283="Dump Fees"),"COGS",IF(OR(E283="Fuel",E283="Insurance",E283="Tools",E283="Repairs"),"Expense","Non-Deductible")))</f>
        <v/>
      </c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  <c r="E284" t="inlineStr">
        <is>
          <t>Utilities</t>
        </is>
      </c>
      <c r="F284">
        <f>IF(E284="Income","Revenue",IF(OR(E284="Materials",E284="Labor",E284="Dump Fees"),"COGS",IF(OR(E284="Fuel",E284="Insurance",E284="Tools",E284="Repairs"),"Expense","Non-Deductible")))</f>
        <v/>
      </c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  <c r="E286" t="inlineStr">
        <is>
          <t>Fuel</t>
        </is>
      </c>
      <c r="F286">
        <f>IF(E286="Income","Revenue",IF(OR(E286="Materials",E286="Labor",E286="Dump Fees"),"COGS",IF(OR(E286="Fuel",E286="Insurance",E286="Tools",E286="Repairs"),"Expense","Non-Deductible")))</f>
        <v/>
      </c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  <c r="E289" t="inlineStr">
        <is>
          <t>Tools</t>
        </is>
      </c>
      <c r="F289">
        <f>IF(E289="Income","Revenue",IF(OR(E289="Materials",E289="Labor",E289="Dump Fees"),"COGS",IF(OR(E289="Fuel",E289="Insurance",E289="Tools",E289="Repairs"),"Expense","Non-Deductible")))</f>
        <v/>
      </c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  <c r="E290" t="inlineStr">
        <is>
          <t>Materials</t>
        </is>
      </c>
      <c r="F290">
        <f>IF(E290="Income","Revenue",IF(OR(E290="Materials",E290="Labor",E290="Dump Fees"),"COGS",IF(OR(E290="Fuel",E290="Insurance",E290="Tools",E290="Repairs"),"Expense","Non-Deductible")))</f>
        <v/>
      </c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  <c r="E292" t="inlineStr">
        <is>
          <t>Labor</t>
        </is>
      </c>
      <c r="F292">
        <f>IF(E292="Income","Revenue",IF(OR(E292="Materials",E292="Labor",E292="Dump Fees"),"COGS",IF(OR(E292="Fuel",E292="Insurance",E292="Tools",E292="Repairs"),"Expense","Non-Deductible")))</f>
        <v/>
      </c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  <c r="E294" t="inlineStr">
        <is>
          <t>Tools</t>
        </is>
      </c>
      <c r="F294">
        <f>IF(E294="Income","Revenue",IF(OR(E294="Materials",E294="Labor",E294="Dump Fees"),"COGS",IF(OR(E294="Fuel",E294="Insurance",E294="Tools",E294="Repairs"),"Expense","Non-Deductible")))</f>
        <v/>
      </c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  <c r="E295" t="inlineStr">
        <is>
          <t>Tools</t>
        </is>
      </c>
      <c r="F295">
        <f>IF(E295="Income","Revenue",IF(OR(E295="Materials",E295="Labor",E295="Dump Fees"),"COGS",IF(OR(E295="Fuel",E295="Insurance",E295="Tools",E295="Repairs"),"Expense","Non-Deductible")))</f>
        <v/>
      </c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  <c r="E296" t="inlineStr">
        <is>
          <t>Fuel</t>
        </is>
      </c>
      <c r="F296">
        <f>IF(E296="Income","Revenue",IF(OR(E296="Materials",E296="Labor",E296="Dump Fees"),"COGS",IF(OR(E296="Fuel",E296="Insurance",E296="Tools",E296="Repairs"),"Expense","Non-Deductible")))</f>
        <v/>
      </c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  <c r="E297" t="inlineStr">
        <is>
          <t>Tools</t>
        </is>
      </c>
      <c r="F297">
        <f>IF(E297="Income","Revenue",IF(OR(E297="Materials",E297="Labor",E297="Dump Fees"),"COGS",IF(OR(E297="Fuel",E297="Insurance",E297="Tools",E297="Repairs"),"Expense","Non-Deductible")))</f>
        <v/>
      </c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  <c r="E298" t="inlineStr">
        <is>
          <t>Fuel</t>
        </is>
      </c>
      <c r="F298">
        <f>IF(E298="Income","Revenue",IF(OR(E298="Materials",E298="Labor",E298="Dump Fees"),"COGS",IF(OR(E298="Fuel",E298="Insurance",E298="Tools",E298="Repairs"),"Expense","Non-Deductible")))</f>
        <v/>
      </c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  <c r="E301" t="inlineStr">
        <is>
          <t>Tools</t>
        </is>
      </c>
      <c r="F301">
        <f>IF(E301="Income","Revenue",IF(OR(E301="Materials",E301="Labor",E301="Dump Fees"),"COGS",IF(OR(E301="Fuel",E301="Insurance",E301="Tools",E301="Repairs"),"Expense","Non-Deductible")))</f>
        <v/>
      </c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  <c r="E304" t="inlineStr">
        <is>
          <t>Materials</t>
        </is>
      </c>
      <c r="F304">
        <f>IF(E304="Income","Revenue",IF(OR(E304="Materials",E304="Labor",E304="Dump Fees"),"COGS",IF(OR(E304="Fuel",E304="Insurance",E304="Tools",E304="Repairs"),"Expense","Non-Deductible")))</f>
        <v/>
      </c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  <c r="E307" t="inlineStr">
        <is>
          <t>Materials</t>
        </is>
      </c>
      <c r="F307">
        <f>IF(E307="Income","Revenue",IF(OR(E307="Materials",E307="Labor",E307="Dump Fees"),"COGS",IF(OR(E307="Fuel",E307="Insurance",E307="Tools",E307="Repairs"),"Expense","Non-Deductible")))</f>
        <v/>
      </c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  <c r="E311" t="inlineStr">
        <is>
          <t>Utilities</t>
        </is>
      </c>
      <c r="F311">
        <f>IF(E311="Income","Revenue",IF(OR(E311="Materials",E311="Labor",E311="Dump Fees"),"COGS",IF(OR(E311="Fuel",E311="Insurance",E311="Tools",E311="Repairs"),"Expense","Non-Deductible")))</f>
        <v/>
      </c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  <c r="E312" t="inlineStr">
        <is>
          <t>Utilities</t>
        </is>
      </c>
      <c r="F312">
        <f>IF(E312="Income","Revenue",IF(OR(E312="Materials",E312="Labor",E312="Dump Fees"),"COGS",IF(OR(E312="Fuel",E312="Insurance",E312="Tools",E312="Repairs"),"Expense","Non-Deductible")))</f>
        <v/>
      </c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  <c r="E314" t="inlineStr">
        <is>
          <t>Labor</t>
        </is>
      </c>
      <c r="F314">
        <f>IF(E314="Income","Revenue",IF(OR(E314="Materials",E314="Labor",E314="Dump Fees"),"COGS",IF(OR(E314="Fuel",E314="Insurance",E314="Tools",E314="Repairs"),"Expense","Non-Deductible")))</f>
        <v/>
      </c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  <c r="E316" t="inlineStr">
        <is>
          <t>Fuel</t>
        </is>
      </c>
      <c r="F316">
        <f>IF(E316="Income","Revenue",IF(OR(E316="Materials",E316="Labor",E316="Dump Fees"),"COGS",IF(OR(E316="Fuel",E316="Insurance",E316="Tools",E316="Repairs"),"Expense","Non-Deductible")))</f>
        <v/>
      </c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  <c r="E317" t="inlineStr">
        <is>
          <t>Tools</t>
        </is>
      </c>
      <c r="F317">
        <f>IF(E317="Income","Revenue",IF(OR(E317="Materials",E317="Labor",E317="Dump Fees"),"COGS",IF(OR(E317="Fuel",E317="Insurance",E317="Tools",E317="Repairs"),"Expense","Non-Deductible")))</f>
        <v/>
      </c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  <c r="E318" t="inlineStr">
        <is>
          <t>Fuel</t>
        </is>
      </c>
      <c r="F318">
        <f>IF(E318="Income","Revenue",IF(OR(E318="Materials",E318="Labor",E318="Dump Fees"),"COGS",IF(OR(E318="Fuel",E318="Insurance",E318="Tools",E318="Repairs"),"Expense","Non-Deductible")))</f>
        <v/>
      </c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  <c r="E319" t="inlineStr">
        <is>
          <t>Labor</t>
        </is>
      </c>
      <c r="F319">
        <f>IF(E319="Income","Revenue",IF(OR(E319="Materials",E319="Labor",E319="Dump Fees"),"COGS",IF(OR(E319="Fuel",E319="Insurance",E319="Tools",E319="Repairs"),"Expense","Non-Deductible")))</f>
        <v/>
      </c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  <c r="E322" t="inlineStr">
        <is>
          <t>Materials</t>
        </is>
      </c>
      <c r="F322">
        <f>IF(E322="Income","Revenue",IF(OR(E322="Materials",E322="Labor",E322="Dump Fees"),"COGS",IF(OR(E322="Fuel",E322="Insurance",E322="Tools",E322="Repairs"),"Expense","Non-Deductible")))</f>
        <v/>
      </c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  <c r="E323" t="inlineStr">
        <is>
          <t>Materials</t>
        </is>
      </c>
      <c r="F323">
        <f>IF(E323="Income","Revenue",IF(OR(E323="Materials",E323="Labor",E323="Dump Fees"),"COGS",IF(OR(E323="Fuel",E323="Insurance",E323="Tools",E323="Repairs"),"Expense","Non-Deductible")))</f>
        <v/>
      </c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  <c r="E324" t="inlineStr">
        <is>
          <t>Fuel</t>
        </is>
      </c>
      <c r="F324">
        <f>IF(E324="Income","Revenue",IF(OR(E324="Materials",E324="Labor",E324="Dump Fees"),"COGS",IF(OR(E324="Fuel",E324="Insurance",E324="Tools",E324="Repairs"),"Expense","Non-Deductible")))</f>
        <v/>
      </c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  <c r="E327" t="inlineStr">
        <is>
          <t>Utilities</t>
        </is>
      </c>
      <c r="F327">
        <f>IF(E327="Income","Revenue",IF(OR(E327="Materials",E327="Labor",E327="Dump Fees"),"COGS",IF(OR(E327="Fuel",E327="Insurance",E327="Tools",E327="Repairs"),"Expense","Non-Deductible")))</f>
        <v/>
      </c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  <c r="E329" t="inlineStr">
        <is>
          <t>Utilities</t>
        </is>
      </c>
      <c r="F329">
        <f>IF(E329="Income","Revenue",IF(OR(E329="Materials",E329="Labor",E329="Dump Fees"),"COGS",IF(OR(E329="Fuel",E329="Insurance",E329="Tools",E329="Repairs"),"Expense","Non-Deductible")))</f>
        <v/>
      </c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  <c r="E330" t="inlineStr">
        <is>
          <t>Fuel</t>
        </is>
      </c>
      <c r="F330">
        <f>IF(E330="Income","Revenue",IF(OR(E330="Materials",E330="Labor",E330="Dump Fees"),"COGS",IF(OR(E330="Fuel",E330="Insurance",E330="Tools",E330="Repairs"),"Expense","Non-Deductible")))</f>
        <v/>
      </c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  <c r="E331" t="inlineStr">
        <is>
          <t>Labor</t>
        </is>
      </c>
      <c r="F331">
        <f>IF(E331="Income","Revenue",IF(OR(E331="Materials",E331="Labor",E331="Dump Fees"),"COGS",IF(OR(E331="Fuel",E331="Insurance",E331="Tools",E331="Repairs"),"Expense","Non-Deductible")))</f>
        <v/>
      </c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  <c r="E332" t="inlineStr">
        <is>
          <t>Tools</t>
        </is>
      </c>
      <c r="F332">
        <f>IF(E332="Income","Revenue",IF(OR(E332="Materials",E332="Labor",E332="Dump Fees"),"COGS",IF(OR(E332="Fuel",E332="Insurance",E332="Tools",E332="Repairs"),"Expense","Non-Deductible")))</f>
        <v/>
      </c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  <c r="E336" t="inlineStr">
        <is>
          <t>Tools</t>
        </is>
      </c>
      <c r="F336">
        <f>IF(E336="Income","Revenue",IF(OR(E336="Materials",E336="Labor",E336="Dump Fees"),"COGS",IF(OR(E336="Fuel",E336="Insurance",E336="Tools",E336="Repairs"),"Expense","Non-Deductible")))</f>
        <v/>
      </c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  <c r="E338" t="inlineStr">
        <is>
          <t>Labor</t>
        </is>
      </c>
      <c r="F338">
        <f>IF(E338="Income","Revenue",IF(OR(E338="Materials",E338="Labor",E338="Dump Fees"),"COGS",IF(OR(E338="Fuel",E338="Insurance",E338="Tools",E338="Repairs"),"Expense","Non-Deductible")))</f>
        <v/>
      </c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  <c r="E340" t="inlineStr">
        <is>
          <t>Materials</t>
        </is>
      </c>
      <c r="F340">
        <f>IF(E340="Income","Revenue",IF(OR(E340="Materials",E340="Labor",E340="Dump Fees"),"COGS",IF(OR(E340="Fuel",E340="Insurance",E340="Tools",E340="Repairs"),"Expense","Non-Deductible")))</f>
        <v/>
      </c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  <c r="E344" t="inlineStr">
        <is>
          <t>Fuel</t>
        </is>
      </c>
      <c r="F344">
        <f>IF(E344="Income","Revenue",IF(OR(E344="Materials",E344="Labor",E344="Dump Fees"),"COGS",IF(OR(E344="Fuel",E344="Insurance",E344="Tools",E344="Repairs"),"Expense","Non-Deductible")))</f>
        <v/>
      </c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  <c r="E345" t="inlineStr">
        <is>
          <t>Materials</t>
        </is>
      </c>
      <c r="F345">
        <f>IF(E345="Income","Revenue",IF(OR(E345="Materials",E345="Labor",E345="Dump Fees"),"COGS",IF(OR(E345="Fuel",E345="Insurance",E345="Tools",E345="Repairs"),"Expense","Non-Deductible")))</f>
        <v/>
      </c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  <c r="E346" t="inlineStr">
        <is>
          <t>Labor</t>
        </is>
      </c>
      <c r="F346">
        <f>IF(E346="Income","Revenue",IF(OR(E346="Materials",E346="Labor",E346="Dump Fees"),"COGS",IF(OR(E346="Fuel",E346="Insurance",E346="Tools",E346="Repairs"),"Expense","Non-Deductible")))</f>
        <v/>
      </c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  <c r="E351" t="inlineStr">
        <is>
          <t>Utilities</t>
        </is>
      </c>
      <c r="F351">
        <f>IF(E351="Income","Revenue",IF(OR(E351="Materials",E351="Labor",E351="Dump Fees"),"COGS",IF(OR(E351="Fuel",E351="Insurance",E351="Tools",E351="Repairs"),"Expense","Non-Deductible")))</f>
        <v/>
      </c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  <c r="E352" t="inlineStr">
        <is>
          <t>Fuel</t>
        </is>
      </c>
      <c r="F352">
        <f>IF(E352="Income","Revenue",IF(OR(E352="Materials",E352="Labor",E352="Dump Fees"),"COGS",IF(OR(E352="Fuel",E352="Insurance",E352="Tools",E352="Repairs"),"Expense","Non-Deductible")))</f>
        <v/>
      </c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  <c r="E354" t="inlineStr">
        <is>
          <t>Tools</t>
        </is>
      </c>
      <c r="F354">
        <f>IF(E354="Income","Revenue",IF(OR(E354="Materials",E354="Labor",E354="Dump Fees"),"COGS",IF(OR(E354="Fuel",E354="Insurance",E354="Tools",E354="Repairs"),"Expense","Non-Deductible")))</f>
        <v/>
      </c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  <c r="E355" t="inlineStr">
        <is>
          <t>Tools</t>
        </is>
      </c>
      <c r="F355">
        <f>IF(E355="Income","Revenue",IF(OR(E355="Materials",E355="Labor",E355="Dump Fees"),"COGS",IF(OR(E355="Fuel",E355="Insurance",E355="Tools",E355="Repairs"),"Expense","Non-Deductible")))</f>
        <v/>
      </c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  <c r="E356" t="inlineStr">
        <is>
          <t>Insurance</t>
        </is>
      </c>
      <c r="F356">
        <f>IF(E356="Income","Revenue",IF(OR(E356="Materials",E356="Labor",E356="Dump Fees"),"COGS",IF(OR(E356="Fuel",E356="Insurance",E356="Tools",E356="Repairs"),"Expense","Non-Deductible")))</f>
        <v/>
      </c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  <c r="E357" t="inlineStr">
        <is>
          <t>Labor</t>
        </is>
      </c>
      <c r="F357">
        <f>IF(E357="Income","Revenue",IF(OR(E357="Materials",E357="Labor",E357="Dump Fees"),"COGS",IF(OR(E357="Fuel",E357="Insurance",E357="Tools",E357="Repairs"),"Expense","Non-Deductible")))</f>
        <v/>
      </c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  <c r="E358" t="inlineStr">
        <is>
          <t>Tools</t>
        </is>
      </c>
      <c r="F358">
        <f>IF(E358="Income","Revenue",IF(OR(E358="Materials",E358="Labor",E358="Dump Fees"),"COGS",IF(OR(E358="Fuel",E358="Insurance",E358="Tools",E358="Repairs"),"Expense","Non-Deductible")))</f>
        <v/>
      </c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  <c r="E360" t="inlineStr">
        <is>
          <t>Labor</t>
        </is>
      </c>
      <c r="F360">
        <f>IF(E360="Income","Revenue",IF(OR(E360="Materials",E360="Labor",E360="Dump Fees"),"COGS",IF(OR(E360="Fuel",E360="Insurance",E360="Tools",E360="Repairs"),"Expense","Non-Deductible")))</f>
        <v/>
      </c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  <c r="E362" t="inlineStr">
        <is>
          <t>Utilities</t>
        </is>
      </c>
      <c r="F362">
        <f>IF(E362="Income","Revenue",IF(OR(E362="Materials",E362="Labor",E362="Dump Fees"),"COGS",IF(OR(E362="Fuel",E362="Insurance",E362="Tools",E362="Repairs"),"Expense","Non-Deductible")))</f>
        <v/>
      </c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  <c r="E363" t="inlineStr">
        <is>
          <t>Fuel</t>
        </is>
      </c>
      <c r="F363">
        <f>IF(E363="Income","Revenue",IF(OR(E363="Materials",E363="Labor",E363="Dump Fees"),"COGS",IF(OR(E363="Fuel",E363="Insurance",E363="Tools",E363="Repairs"),"Expense","Non-Deductible")))</f>
        <v/>
      </c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  <c r="E364" t="inlineStr">
        <is>
          <t>Tools</t>
        </is>
      </c>
      <c r="F364">
        <f>IF(E364="Income","Revenue",IF(OR(E364="Materials",E364="Labor",E364="Dump Fees"),"COGS",IF(OR(E364="Fuel",E364="Insurance",E364="Tools",E364="Repairs"),"Expense","Non-Deductible")))</f>
        <v/>
      </c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  <c r="E365" t="inlineStr">
        <is>
          <t>Labor</t>
        </is>
      </c>
      <c r="F365">
        <f>IF(E365="Income","Revenue",IF(OR(E365="Materials",E365="Labor",E365="Dump Fees"),"COGS",IF(OR(E365="Fuel",E365="Insurance",E365="Tools",E365="Repairs"),"Expense","Non-Deductible")))</f>
        <v/>
      </c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  <c r="E370" t="inlineStr">
        <is>
          <t>Labor</t>
        </is>
      </c>
      <c r="F370">
        <f>IF(E370="Income","Revenue",IF(OR(E370="Materials",E370="Labor",E370="Dump Fees"),"COGS",IF(OR(E370="Fuel",E370="Insurance",E370="Tools",E370="Repairs"),"Expense","Non-Deductible")))</f>
        <v/>
      </c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  <c r="E371" t="inlineStr">
        <is>
          <t>Labor</t>
        </is>
      </c>
      <c r="F371">
        <f>IF(E371="Income","Revenue",IF(OR(E371="Materials",E371="Labor",E371="Dump Fees"),"COGS",IF(OR(E371="Fuel",E371="Insurance",E371="Tools",E371="Repairs"),"Expense","Non-Deductible")))</f>
        <v/>
      </c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  <c r="E372" t="inlineStr">
        <is>
          <t>Tools</t>
        </is>
      </c>
      <c r="F372">
        <f>IF(E372="Income","Revenue",IF(OR(E372="Materials",E372="Labor",E372="Dump Fees"),"COGS",IF(OR(E372="Fuel",E372="Insurance",E372="Tools",E372="Repairs"),"Expense","Non-Deductible")))</f>
        <v/>
      </c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  <c r="E373" t="inlineStr">
        <is>
          <t>Materials</t>
        </is>
      </c>
      <c r="F373">
        <f>IF(E373="Income","Revenue",IF(OR(E373="Materials",E373="Labor",E373="Dump Fees"),"COGS",IF(OR(E373="Fuel",E373="Insurance",E373="Tools",E373="Repairs"),"Expense","Non-Deductible")))</f>
        <v/>
      </c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  <c r="E375" t="inlineStr">
        <is>
          <t>Utilities</t>
        </is>
      </c>
      <c r="F375">
        <f>IF(E375="Income","Revenue",IF(OR(E375="Materials",E375="Labor",E375="Dump Fees"),"COGS",IF(OR(E375="Fuel",E375="Insurance",E375="Tools",E375="Repairs"),"Expense","Non-Deductible")))</f>
        <v/>
      </c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  <c r="E376" t="inlineStr">
        <is>
          <t>Utilities</t>
        </is>
      </c>
      <c r="F376">
        <f>IF(E376="Income","Revenue",IF(OR(E376="Materials",E376="Labor",E376="Dump Fees"),"COGS",IF(OR(E376="Fuel",E376="Insurance",E376="Tools",E376="Repairs"),"Expense","Non-Deductible")))</f>
        <v/>
      </c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  <c r="E377" t="inlineStr">
        <is>
          <t>Fuel</t>
        </is>
      </c>
      <c r="F377">
        <f>IF(E377="Income","Revenue",IF(OR(E377="Materials",E377="Labor",E377="Dump Fees"),"COGS",IF(OR(E377="Fuel",E377="Insurance",E377="Tools",E377="Repairs"),"Expense","Non-Deductible")))</f>
        <v/>
      </c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  <c r="E378" t="inlineStr">
        <is>
          <t>Labor</t>
        </is>
      </c>
      <c r="F378">
        <f>IF(E378="Income","Revenue",IF(OR(E378="Materials",E378="Labor",E378="Dump Fees"),"COGS",IF(OR(E378="Fuel",E378="Insurance",E378="Tools",E378="Repairs"),"Expense","Non-Deductible")))</f>
        <v/>
      </c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  <c r="E379" t="inlineStr">
        <is>
          <t>Labor</t>
        </is>
      </c>
      <c r="F379">
        <f>IF(E379="Income","Revenue",IF(OR(E379="Materials",E379="Labor",E379="Dump Fees"),"COGS",IF(OR(E379="Fuel",E379="Insurance",E379="Tools",E379="Repairs"),"Expense","Non-Deductible")))</f>
        <v/>
      </c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  <c r="E381" t="inlineStr">
        <is>
          <t>Materials</t>
        </is>
      </c>
      <c r="F381">
        <f>IF(E381="Income","Revenue",IF(OR(E381="Materials",E381="Labor",E381="Dump Fees"),"COGS",IF(OR(E381="Fuel",E381="Insurance",E381="Tools",E381="Repairs"),"Expense","Non-Deductible")))</f>
        <v/>
      </c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  <c r="E382" t="inlineStr">
        <is>
          <t>Utilities</t>
        </is>
      </c>
      <c r="F382">
        <f>IF(E382="Income","Revenue",IF(OR(E382="Materials",E382="Labor",E382="Dump Fees"),"COGS",IF(OR(E382="Fuel",E382="Insurance",E382="Tools",E382="Repairs"),"Expense","Non-Deductible")))</f>
        <v/>
      </c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  <c r="E383" t="inlineStr">
        <is>
          <t>Tools</t>
        </is>
      </c>
      <c r="F383">
        <f>IF(E383="Income","Revenue",IF(OR(E383="Materials",E383="Labor",E383="Dump Fees"),"COGS",IF(OR(E383="Fuel",E383="Insurance",E383="Tools",E383="Repairs"),"Expense","Non-Deductible")))</f>
        <v/>
      </c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  <c r="E386" t="inlineStr">
        <is>
          <t>Labor</t>
        </is>
      </c>
      <c r="F386">
        <f>IF(E386="Income","Revenue",IF(OR(E386="Materials",E386="Labor",E386="Dump Fees"),"COGS",IF(OR(E386="Fuel",E386="Insurance",E386="Tools",E386="Repairs"),"Expense","Non-Deductible")))</f>
        <v/>
      </c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  <c r="E389" t="inlineStr">
        <is>
          <t>Tools</t>
        </is>
      </c>
      <c r="F389">
        <f>IF(E389="Income","Revenue",IF(OR(E389="Materials",E389="Labor",E389="Dump Fees"),"COGS",IF(OR(E389="Fuel",E389="Insurance",E389="Tools",E389="Repairs"),"Expense","Non-Deductible")))</f>
        <v/>
      </c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  <c r="E390" t="inlineStr">
        <is>
          <t>Utilities</t>
        </is>
      </c>
      <c r="F390">
        <f>IF(E390="Income","Revenue",IF(OR(E390="Materials",E390="Labor",E390="Dump Fees"),"COGS",IF(OR(E390="Fuel",E390="Insurance",E390="Tools",E390="Repairs"),"Expense","Non-Deductible")))</f>
        <v/>
      </c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  <c r="E391" t="inlineStr">
        <is>
          <t>Fuel</t>
        </is>
      </c>
      <c r="F391">
        <f>IF(E391="Income","Revenue",IF(OR(E391="Materials",E391="Labor",E391="Dump Fees"),"COGS",IF(OR(E391="Fuel",E391="Insurance",E391="Tools",E391="Repairs"),"Expense","Non-Deductible")))</f>
        <v/>
      </c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  <c r="E392" t="inlineStr">
        <is>
          <t>Fuel</t>
        </is>
      </c>
      <c r="F392">
        <f>IF(E392="Income","Revenue",IF(OR(E392="Materials",E392="Labor",E392="Dump Fees"),"COGS",IF(OR(E392="Fuel",E392="Insurance",E392="Tools",E392="Repairs"),"Expense","Non-Deductible")))</f>
        <v/>
      </c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  <c r="E395" t="inlineStr">
        <is>
          <t>Fuel</t>
        </is>
      </c>
      <c r="F395">
        <f>IF(E395="Income","Revenue",IF(OR(E395="Materials",E395="Labor",E395="Dump Fees"),"COGS",IF(OR(E395="Fuel",E395="Insurance",E395="Tools",E395="Repairs"),"Expense","Non-Deductible")))</f>
        <v/>
      </c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  <c r="E396" t="inlineStr">
        <is>
          <t>Fuel</t>
        </is>
      </c>
      <c r="F396">
        <f>IF(E396="Income","Revenue",IF(OR(E396="Materials",E396="Labor",E396="Dump Fees"),"COGS",IF(OR(E396="Fuel",E396="Insurance",E396="Tools",E396="Repairs"),"Expense","Non-Deductible")))</f>
        <v/>
      </c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  <c r="E400" t="inlineStr">
        <is>
          <t>Tools</t>
        </is>
      </c>
      <c r="F400">
        <f>IF(E400="Income","Revenue",IF(OR(E400="Materials",E400="Labor",E400="Dump Fees"),"COGS",IF(OR(E400="Fuel",E400="Insurance",E400="Tools",E400="Repairs"),"Expense","Non-Deductible")))</f>
        <v/>
      </c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  <c r="E401" t="inlineStr">
        <is>
          <t>Tools</t>
        </is>
      </c>
      <c r="F401">
        <f>IF(E401="Income","Revenue",IF(OR(E401="Materials",E401="Labor",E401="Dump Fees"),"COGS",IF(OR(E401="Fuel",E401="Insurance",E401="Tools",E401="Repairs"),"Expense","Non-Deductible")))</f>
        <v/>
      </c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  <c r="E402" t="inlineStr">
        <is>
          <t>Fuel</t>
        </is>
      </c>
      <c r="F402">
        <f>IF(E402="Income","Revenue",IF(OR(E402="Materials",E402="Labor",E402="Dump Fees"),"COGS",IF(OR(E402="Fuel",E402="Insurance",E402="Tools",E402="Repairs"),"Expense","Non-Deductible")))</f>
        <v/>
      </c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  <c r="E403" t="inlineStr">
        <is>
          <t>Materials</t>
        </is>
      </c>
      <c r="F403">
        <f>IF(E403="Income","Revenue",IF(OR(E403="Materials",E403="Labor",E403="Dump Fees"),"COGS",IF(OR(E403="Fuel",E403="Insurance",E403="Tools",E403="Repairs"),"Expense","Non-Deductible")))</f>
        <v/>
      </c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  <c r="E404" t="inlineStr">
        <is>
          <t>Labor</t>
        </is>
      </c>
      <c r="F404">
        <f>IF(E404="Income","Revenue",IF(OR(E404="Materials",E404="Labor",E404="Dump Fees"),"COGS",IF(OR(E404="Fuel",E404="Insurance",E404="Tools",E404="Repairs"),"Expense","Non-Deductible")))</f>
        <v/>
      </c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  <c r="E405" t="inlineStr">
        <is>
          <t>Labor</t>
        </is>
      </c>
      <c r="F405">
        <f>IF(E405="Income","Revenue",IF(OR(E405="Materials",E405="Labor",E405="Dump Fees"),"COGS",IF(OR(E405="Fuel",E405="Insurance",E405="Tools",E405="Repairs"),"Expense","Non-Deductible")))</f>
        <v/>
      </c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  <c r="E406" t="inlineStr">
        <is>
          <t>Tools</t>
        </is>
      </c>
      <c r="F406">
        <f>IF(E406="Income","Revenue",IF(OR(E406="Materials",E406="Labor",E406="Dump Fees"),"COGS",IF(OR(E406="Fuel",E406="Insurance",E406="Tools",E406="Repairs"),"Expense","Non-Deductible")))</f>
        <v/>
      </c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  <c r="E409" t="inlineStr">
        <is>
          <t>Tools</t>
        </is>
      </c>
      <c r="F409">
        <f>IF(E409="Income","Revenue",IF(OR(E409="Materials",E409="Labor",E409="Dump Fees"),"COGS",IF(OR(E409="Fuel",E409="Insurance",E409="Tools",E409="Repairs"),"Expense","Non-Deductible")))</f>
        <v/>
      </c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  <c r="E411" t="inlineStr">
        <is>
          <t>Fuel</t>
        </is>
      </c>
      <c r="F411">
        <f>IF(E411="Income","Revenue",IF(OR(E411="Materials",E411="Labor",E411="Dump Fees"),"COGS",IF(OR(E411="Fuel",E411="Insurance",E411="Tools",E411="Repairs"),"Expense","Non-Deductible")))</f>
        <v/>
      </c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  <c r="E412" t="inlineStr">
        <is>
          <t>Tools</t>
        </is>
      </c>
      <c r="F412">
        <f>IF(E412="Income","Revenue",IF(OR(E412="Materials",E412="Labor",E412="Dump Fees"),"COGS",IF(OR(E412="Fuel",E412="Insurance",E412="Tools",E412="Repairs"),"Expense","Non-Deductible")))</f>
        <v/>
      </c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  <c r="E414" t="inlineStr">
        <is>
          <t>Tools</t>
        </is>
      </c>
      <c r="F414">
        <f>IF(E414="Income","Revenue",IF(OR(E414="Materials",E414="Labor",E414="Dump Fees"),"COGS",IF(OR(E414="Fuel",E414="Insurance",E414="Tools",E414="Repairs"),"Expense","Non-Deductible")))</f>
        <v/>
      </c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  <c r="E416" t="inlineStr">
        <is>
          <t>Fuel</t>
        </is>
      </c>
      <c r="F416">
        <f>IF(E416="Income","Revenue",IF(OR(E416="Materials",E416="Labor",E416="Dump Fees"),"COGS",IF(OR(E416="Fuel",E416="Insurance",E416="Tools",E416="Repairs"),"Expense","Non-Deductible")))</f>
        <v/>
      </c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  <c r="E417" t="inlineStr">
        <is>
          <t>Tools</t>
        </is>
      </c>
      <c r="F417">
        <f>IF(E417="Income","Revenue",IF(OR(E417="Materials",E417="Labor",E417="Dump Fees"),"COGS",IF(OR(E417="Fuel",E417="Insurance",E417="Tools",E417="Repairs"),"Expense","Non-Deductible")))</f>
        <v/>
      </c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  <c r="E419" t="inlineStr">
        <is>
          <t>Labor</t>
        </is>
      </c>
      <c r="F419">
        <f>IF(E419="Income","Revenue",IF(OR(E419="Materials",E419="Labor",E419="Dump Fees"),"COGS",IF(OR(E419="Fuel",E419="Insurance",E419="Tools",E419="Repairs"),"Expense","Non-Deductible")))</f>
        <v/>
      </c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  <c r="E423" t="inlineStr">
        <is>
          <t>Tools</t>
        </is>
      </c>
      <c r="F423">
        <f>IF(E423="Income","Revenue",IF(OR(E423="Materials",E423="Labor",E423="Dump Fees"),"COGS",IF(OR(E423="Fuel",E423="Insurance",E423="Tools",E423="Repairs"),"Expense","Non-Deductible")))</f>
        <v/>
      </c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  <c r="E424" t="inlineStr">
        <is>
          <t>Repairs</t>
        </is>
      </c>
      <c r="F424">
        <f>IF(E424="Income","Revenue",IF(OR(E424="Materials",E424="Labor",E424="Dump Fees"),"COGS",IF(OR(E424="Fuel",E424="Insurance",E424="Tools",E424="Repairs"),"Expense","Non-Deductible")))</f>
        <v/>
      </c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  <c r="E425" t="inlineStr">
        <is>
          <t>Repairs</t>
        </is>
      </c>
      <c r="F425">
        <f>IF(E425="Income","Revenue",IF(OR(E425="Materials",E425="Labor",E425="Dump Fees"),"COGS",IF(OR(E425="Fuel",E425="Insurance",E425="Tools",E425="Repairs"),"Expense","Non-Deductible")))</f>
        <v/>
      </c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  <c r="E427" t="inlineStr">
        <is>
          <t>Tools</t>
        </is>
      </c>
      <c r="F427">
        <f>IF(E427="Income","Revenue",IF(OR(E427="Materials",E427="Labor",E427="Dump Fees"),"COGS",IF(OR(E427="Fuel",E427="Insurance",E427="Tools",E427="Repairs"),"Expense","Non-Deductible")))</f>
        <v/>
      </c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  <c r="E428" t="inlineStr">
        <is>
          <t>Tools</t>
        </is>
      </c>
      <c r="F428">
        <f>IF(E428="Income","Revenue",IF(OR(E428="Materials",E428="Labor",E428="Dump Fees"),"COGS",IF(OR(E428="Fuel",E428="Insurance",E428="Tools",E428="Repairs"),"Expense","Non-Deductible")))</f>
        <v/>
      </c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  <c r="E429" t="inlineStr">
        <is>
          <t>Tools</t>
        </is>
      </c>
      <c r="F429">
        <f>IF(E429="Income","Revenue",IF(OR(E429="Materials",E429="Labor",E429="Dump Fees"),"COGS",IF(OR(E429="Fuel",E429="Insurance",E429="Tools",E429="Repairs"),"Expense","Non-Deductible")))</f>
        <v/>
      </c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  <c r="E431" t="inlineStr">
        <is>
          <t>Repairs</t>
        </is>
      </c>
      <c r="F431">
        <f>IF(E431="Income","Revenue",IF(OR(E431="Materials",E431="Labor",E431="Dump Fees"),"COGS",IF(OR(E431="Fuel",E431="Insurance",E431="Tools",E431="Repairs"),"Expense","Non-Deductible")))</f>
        <v/>
      </c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  <c r="E433" t="inlineStr">
        <is>
          <t>Tools</t>
        </is>
      </c>
      <c r="F433">
        <f>IF(E433="Income","Revenue",IF(OR(E433="Materials",E433="Labor",E433="Dump Fees"),"COGS",IF(OR(E433="Fuel",E433="Insurance",E433="Tools",E433="Repairs"),"Expense","Non-Deductible")))</f>
        <v/>
      </c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  <c r="E434" t="inlineStr">
        <is>
          <t>Repairs</t>
        </is>
      </c>
      <c r="F434">
        <f>IF(E434="Income","Revenue",IF(OR(E434="Materials",E434="Labor",E434="Dump Fees"),"COGS",IF(OR(E434="Fuel",E434="Insurance",E434="Tools",E434="Repairs"),"Expense","Non-Deductible")))</f>
        <v/>
      </c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  <c r="E435" t="inlineStr">
        <is>
          <t>Repairs</t>
        </is>
      </c>
      <c r="F435">
        <f>IF(E435="Income","Revenue",IF(OR(E435="Materials",E435="Labor",E435="Dump Fees"),"COGS",IF(OR(E435="Fuel",E435="Insurance",E435="Tools",E435="Repairs"),"Expense","Non-Deductible")))</f>
        <v/>
      </c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  <c r="E436" t="inlineStr">
        <is>
          <t>Fuel</t>
        </is>
      </c>
      <c r="F436">
        <f>IF(E436="Income","Revenue",IF(OR(E436="Materials",E436="Labor",E436="Dump Fees"),"COGS",IF(OR(E436="Fuel",E436="Insurance",E436="Tools",E436="Repairs"),"Expense","Non-Deductible")))</f>
        <v/>
      </c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  <c r="E437" t="inlineStr">
        <is>
          <t>Tools</t>
        </is>
      </c>
      <c r="F437">
        <f>IF(E437="Income","Revenue",IF(OR(E437="Materials",E437="Labor",E437="Dump Fees"),"COGS",IF(OR(E437="Fuel",E437="Insurance",E437="Tools",E437="Repairs"),"Expense","Non-Deductible")))</f>
        <v/>
      </c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  <c r="E438" t="inlineStr">
        <is>
          <t>Tools</t>
        </is>
      </c>
      <c r="F438">
        <f>IF(E438="Income","Revenue",IF(OR(E438="Materials",E438="Labor",E438="Dump Fees"),"COGS",IF(OR(E438="Fuel",E438="Insurance",E438="Tools",E438="Repairs"),"Expense","Non-Deductible")))</f>
        <v/>
      </c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  <c r="E440" t="inlineStr">
        <is>
          <t>Tools</t>
        </is>
      </c>
      <c r="F440">
        <f>IF(E440="Income","Revenue",IF(OR(E440="Materials",E440="Labor",E440="Dump Fees"),"COGS",IF(OR(E440="Fuel",E440="Insurance",E440="Tools",E440="Repairs"),"Expense","Non-Deductible")))</f>
        <v/>
      </c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  <c r="E441" t="inlineStr">
        <is>
          <t>Utilities</t>
        </is>
      </c>
      <c r="F441">
        <f>IF(E441="Income","Revenue",IF(OR(E441="Materials",E441="Labor",E441="Dump Fees"),"COGS",IF(OR(E441="Fuel",E441="Insurance",E441="Tools",E441="Repairs"),"Expense","Non-Deductible")))</f>
        <v/>
      </c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  <c r="E444" t="inlineStr">
        <is>
          <t>Tools</t>
        </is>
      </c>
      <c r="F444">
        <f>IF(E444="Income","Revenue",IF(OR(E444="Materials",E444="Labor",E444="Dump Fees"),"COGS",IF(OR(E444="Fuel",E444="Insurance",E444="Tools",E444="Repairs"),"Expense","Non-Deductible")))</f>
        <v/>
      </c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  <c r="E445" t="inlineStr">
        <is>
          <t>Tools</t>
        </is>
      </c>
      <c r="F445">
        <f>IF(E445="Income","Revenue",IF(OR(E445="Materials",E445="Labor",E445="Dump Fees"),"COGS",IF(OR(E445="Fuel",E445="Insurance",E445="Tools",E445="Repairs"),"Expense","Non-Deductible")))</f>
        <v/>
      </c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  <c r="E446" t="inlineStr">
        <is>
          <t>Utilities</t>
        </is>
      </c>
      <c r="F446">
        <f>IF(E446="Income","Revenue",IF(OR(E446="Materials",E446="Labor",E446="Dump Fees"),"COGS",IF(OR(E446="Fuel",E446="Insurance",E446="Tools",E446="Repairs"),"Expense","Non-Deductible")))</f>
        <v/>
      </c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  <c r="E448" t="inlineStr">
        <is>
          <t>Tools</t>
        </is>
      </c>
      <c r="F448">
        <f>IF(E448="Income","Revenue",IF(OR(E448="Materials",E448="Labor",E448="Dump Fees"),"COGS",IF(OR(E448="Fuel",E448="Insurance",E448="Tools",E448="Repairs"),"Expense","Non-Deductible")))</f>
        <v/>
      </c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  <c r="E449" t="inlineStr">
        <is>
          <t>Materials</t>
        </is>
      </c>
      <c r="F449">
        <f>IF(E449="Income","Revenue",IF(OR(E449="Materials",E449="Labor",E449="Dump Fees"),"COGS",IF(OR(E449="Fuel",E449="Insurance",E449="Tools",E449="Repairs"),"Expense","Non-Deductible")))</f>
        <v/>
      </c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  <c r="E451" t="inlineStr">
        <is>
          <t>Fuel</t>
        </is>
      </c>
      <c r="F451">
        <f>IF(E451="Income","Revenue",IF(OR(E451="Materials",E451="Labor",E451="Dump Fees"),"COGS",IF(OR(E451="Fuel",E451="Insurance",E451="Tools",E451="Repairs"),"Expense","Non-Deductible")))</f>
        <v/>
      </c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  <c r="E453" t="inlineStr">
        <is>
          <t>Tools</t>
        </is>
      </c>
      <c r="F453">
        <f>IF(E453="Income","Revenue",IF(OR(E453="Materials",E453="Labor",E453="Dump Fees"),"COGS",IF(OR(E453="Fuel",E453="Insurance",E453="Tools",E453="Repairs"),"Expense","Non-Deductible")))</f>
        <v/>
      </c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  <c r="E455" t="inlineStr">
        <is>
          <t>Fuel</t>
        </is>
      </c>
      <c r="F455">
        <f>IF(E455="Income","Revenue",IF(OR(E455="Materials",E455="Labor",E455="Dump Fees"),"COGS",IF(OR(E455="Fuel",E455="Insurance",E455="Tools",E455="Repairs"),"Expense","Non-Deductible")))</f>
        <v/>
      </c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  <c r="E457" t="inlineStr">
        <is>
          <t>Tools</t>
        </is>
      </c>
      <c r="F457">
        <f>IF(E457="Income","Revenue",IF(OR(E457="Materials",E457="Labor",E457="Dump Fees"),"COGS",IF(OR(E457="Fuel",E457="Insurance",E457="Tools",E457="Repairs"),"Expense","Non-Deductible")))</f>
        <v/>
      </c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  <c r="E458" t="inlineStr">
        <is>
          <t>Tools</t>
        </is>
      </c>
      <c r="F458">
        <f>IF(E458="Income","Revenue",IF(OR(E458="Materials",E458="Labor",E458="Dump Fees"),"COGS",IF(OR(E458="Fuel",E458="Insurance",E458="Tools",E458="Repairs"),"Expense","Non-Deductible")))</f>
        <v/>
      </c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  <c r="E459" t="inlineStr">
        <is>
          <t>Fuel</t>
        </is>
      </c>
      <c r="F459">
        <f>IF(E459="Income","Revenue",IF(OR(E459="Materials",E459="Labor",E459="Dump Fees"),"COGS",IF(OR(E459="Fuel",E459="Insurance",E459="Tools",E459="Repairs"),"Expense","Non-Deductible")))</f>
        <v/>
      </c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  <c r="E460" t="inlineStr">
        <is>
          <t>Tools</t>
        </is>
      </c>
      <c r="F460">
        <f>IF(E460="Income","Revenue",IF(OR(E460="Materials",E460="Labor",E460="Dump Fees"),"COGS",IF(OR(E460="Fuel",E460="Insurance",E460="Tools",E460="Repairs"),"Expense","Non-Deductible")))</f>
        <v/>
      </c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  <c r="E461" t="inlineStr">
        <is>
          <t>Labor</t>
        </is>
      </c>
      <c r="F461">
        <f>IF(E461="Income","Revenue",IF(OR(E461="Materials",E461="Labor",E461="Dump Fees"),"COGS",IF(OR(E461="Fuel",E461="Insurance",E461="Tools",E461="Repairs"),"Expense","Non-Deductible")))</f>
        <v/>
      </c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  <c r="E462" t="inlineStr">
        <is>
          <t>Tools</t>
        </is>
      </c>
      <c r="F462">
        <f>IF(E462="Income","Revenue",IF(OR(E462="Materials",E462="Labor",E462="Dump Fees"),"COGS",IF(OR(E462="Fuel",E462="Insurance",E462="Tools",E462="Repairs"),"Expense","Non-Deductible")))</f>
        <v/>
      </c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  <c r="E463" t="inlineStr">
        <is>
          <t>Tools</t>
        </is>
      </c>
      <c r="F463">
        <f>IF(E463="Income","Revenue",IF(OR(E463="Materials",E463="Labor",E463="Dump Fees"),"COGS",IF(OR(E463="Fuel",E463="Insurance",E463="Tools",E463="Repairs"),"Expense","Non-Deductible")))</f>
        <v/>
      </c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  <c r="E465" t="inlineStr">
        <is>
          <t>Tools</t>
        </is>
      </c>
      <c r="F465">
        <f>IF(E465="Income","Revenue",IF(OR(E465="Materials",E465="Labor",E465="Dump Fees"),"COGS",IF(OR(E465="Fuel",E465="Insurance",E465="Tools",E465="Repairs"),"Expense","Non-Deductible")))</f>
        <v/>
      </c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  <c r="E470" t="inlineStr">
        <is>
          <t>Tools</t>
        </is>
      </c>
      <c r="F470">
        <f>IF(E470="Income","Revenue",IF(OR(E470="Materials",E470="Labor",E470="Dump Fees"),"COGS",IF(OR(E470="Fuel",E470="Insurance",E470="Tools",E470="Repairs"),"Expense","Non-Deductible")))</f>
        <v/>
      </c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  <c r="E471" t="inlineStr">
        <is>
          <t>Tools</t>
        </is>
      </c>
      <c r="F471">
        <f>IF(E471="Income","Revenue",IF(OR(E471="Materials",E471="Labor",E471="Dump Fees"),"COGS",IF(OR(E471="Fuel",E471="Insurance",E471="Tools",E471="Repairs"),"Expense","Non-Deductible")))</f>
        <v/>
      </c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  <c r="E473" t="inlineStr">
        <is>
          <t>Fuel</t>
        </is>
      </c>
      <c r="F473">
        <f>IF(E473="Income","Revenue",IF(OR(E473="Materials",E473="Labor",E473="Dump Fees"),"COGS",IF(OR(E473="Fuel",E473="Insurance",E473="Tools",E473="Repairs"),"Expense","Non-Deductible")))</f>
        <v/>
      </c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  <c r="E474" t="inlineStr">
        <is>
          <t>Fuel</t>
        </is>
      </c>
      <c r="F474">
        <f>IF(E474="Income","Revenue",IF(OR(E474="Materials",E474="Labor",E474="Dump Fees"),"COGS",IF(OR(E474="Fuel",E474="Insurance",E474="Tools",E474="Repairs"),"Expense","Non-Deductible")))</f>
        <v/>
      </c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  <c r="E475" t="inlineStr">
        <is>
          <t>Fuel</t>
        </is>
      </c>
      <c r="F475">
        <f>IF(E475="Income","Revenue",IF(OR(E475="Materials",E475="Labor",E475="Dump Fees"),"COGS",IF(OR(E475="Fuel",E475="Insurance",E475="Tools",E475="Repairs"),"Expense","Non-Deductible")))</f>
        <v/>
      </c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  <c r="E477" t="inlineStr">
        <is>
          <t>Fuel</t>
        </is>
      </c>
      <c r="F477">
        <f>IF(E477="Income","Revenue",IF(OR(E477="Materials",E477="Labor",E477="Dump Fees"),"COGS",IF(OR(E477="Fuel",E477="Insurance",E477="Tools",E477="Repairs"),"Expense","Non-Deductible")))</f>
        <v/>
      </c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  <c r="E478" t="inlineStr">
        <is>
          <t>Fuel</t>
        </is>
      </c>
      <c r="F478">
        <f>IF(E478="Income","Revenue",IF(OR(E478="Materials",E478="Labor",E478="Dump Fees"),"COGS",IF(OR(E478="Fuel",E478="Insurance",E478="Tools",E478="Repairs"),"Expense","Non-Deductible")))</f>
        <v/>
      </c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  <c r="E479" t="inlineStr">
        <is>
          <t>Tools</t>
        </is>
      </c>
      <c r="F479">
        <f>IF(E479="Income","Revenue",IF(OR(E479="Materials",E479="Labor",E479="Dump Fees"),"COGS",IF(OR(E479="Fuel",E479="Insurance",E479="Tools",E479="Repairs"),"Expense","Non-Deductible")))</f>
        <v/>
      </c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  <c r="E482" t="inlineStr">
        <is>
          <t>Materials</t>
        </is>
      </c>
      <c r="F482">
        <f>IF(E482="Income","Revenue",IF(OR(E482="Materials",E482="Labor",E482="Dump Fees"),"COGS",IF(OR(E482="Fuel",E482="Insurance",E482="Tools",E482="Repairs"),"Expense","Non-Deductible")))</f>
        <v/>
      </c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  <c r="E485" t="inlineStr">
        <is>
          <t>Insurance</t>
        </is>
      </c>
      <c r="F485">
        <f>IF(E485="Income","Revenue",IF(OR(E485="Materials",E485="Labor",E485="Dump Fees"),"COGS",IF(OR(E485="Fuel",E485="Insurance",E485="Tools",E485="Repairs"),"Expense","Non-Deductible")))</f>
        <v/>
      </c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  <c r="E486" t="inlineStr">
        <is>
          <t>Utilities</t>
        </is>
      </c>
      <c r="F486">
        <f>IF(E486="Income","Revenue",IF(OR(E486="Materials",E486="Labor",E486="Dump Fees"),"COGS",IF(OR(E486="Fuel",E486="Insurance",E486="Tools",E486="Repairs"),"Expense","Non-Deductible")))</f>
        <v/>
      </c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  <c r="E487" t="inlineStr">
        <is>
          <t>Fuel</t>
        </is>
      </c>
      <c r="F487">
        <f>IF(E487="Income","Revenue",IF(OR(E487="Materials",E487="Labor",E487="Dump Fees"),"COGS",IF(OR(E487="Fuel",E487="Insurance",E487="Tools",E487="Repairs"),"Expense","Non-Deductible")))</f>
        <v/>
      </c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  <c r="E490" t="inlineStr">
        <is>
          <t>Tools</t>
        </is>
      </c>
      <c r="F490">
        <f>IF(E490="Income","Revenue",IF(OR(E490="Materials",E490="Labor",E490="Dump Fees"),"COGS",IF(OR(E490="Fuel",E490="Insurance",E490="Tools",E490="Repairs"),"Expense","Non-Deductible")))</f>
        <v/>
      </c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  <c r="E492" t="inlineStr">
        <is>
          <t>Materials</t>
        </is>
      </c>
      <c r="F492">
        <f>IF(E492="Income","Revenue",IF(OR(E492="Materials",E492="Labor",E492="Dump Fees"),"COGS",IF(OR(E492="Fuel",E492="Insurance",E492="Tools",E492="Repairs"),"Expense","Non-Deductible")))</f>
        <v/>
      </c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  <c r="E493" t="inlineStr">
        <is>
          <t>Materials</t>
        </is>
      </c>
      <c r="F493">
        <f>IF(E493="Income","Revenue",IF(OR(E493="Materials",E493="Labor",E493="Dump Fees"),"COGS",IF(OR(E493="Fuel",E493="Insurance",E493="Tools",E493="Repairs"),"Expense","Non-Deductible")))</f>
        <v/>
      </c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  <c r="E494" t="inlineStr">
        <is>
          <t>Materials</t>
        </is>
      </c>
      <c r="F494">
        <f>IF(E494="Income","Revenue",IF(OR(E494="Materials",E494="Labor",E494="Dump Fees"),"COGS",IF(OR(E494="Fuel",E494="Insurance",E494="Tools",E494="Repairs"),"Expense","Non-Deductible")))</f>
        <v/>
      </c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  <c r="E496" t="inlineStr">
        <is>
          <t>Fuel</t>
        </is>
      </c>
      <c r="F496">
        <f>IF(E496="Income","Revenue",IF(OR(E496="Materials",E496="Labor",E496="Dump Fees"),"COGS",IF(OR(E496="Fuel",E496="Insurance",E496="Tools",E496="Repairs"),"Expense","Non-Deductible")))</f>
        <v/>
      </c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  <c r="E497" t="inlineStr">
        <is>
          <t>Fuel</t>
        </is>
      </c>
      <c r="F497">
        <f>IF(E497="Income","Revenue",IF(OR(E497="Materials",E497="Labor",E497="Dump Fees"),"COGS",IF(OR(E497="Fuel",E497="Insurance",E497="Tools",E497="Repairs"),"Expense","Non-Deductible")))</f>
        <v/>
      </c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  <c r="E498" t="inlineStr">
        <is>
          <t>Fuel</t>
        </is>
      </c>
      <c r="F498">
        <f>IF(E498="Income","Revenue",IF(OR(E498="Materials",E498="Labor",E498="Dump Fees"),"COGS",IF(OR(E498="Fuel",E498="Insurance",E498="Tools",E498="Repairs"),"Expense","Non-Deductible")))</f>
        <v/>
      </c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  <c r="E502" t="inlineStr">
        <is>
          <t>Repairs</t>
        </is>
      </c>
      <c r="F502">
        <f>IF(E502="Income","Revenue",IF(OR(E502="Materials",E502="Labor",E502="Dump Fees"),"COGS",IF(OR(E502="Fuel",E502="Insurance",E502="Tools",E502="Repairs"),"Expense","Non-Deductible")))</f>
        <v/>
      </c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  <c r="E503" t="inlineStr">
        <is>
          <t>Repairs</t>
        </is>
      </c>
      <c r="F503">
        <f>IF(E503="Income","Revenue",IF(OR(E503="Materials",E503="Labor",E503="Dump Fees"),"COGS",IF(OR(E503="Fuel",E503="Insurance",E503="Tools",E503="Repairs"),"Expense","Non-Deductible")))</f>
        <v/>
      </c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  <c r="E506" t="inlineStr">
        <is>
          <t>Tools</t>
        </is>
      </c>
      <c r="F506">
        <f>IF(E506="Income","Revenue",IF(OR(E506="Materials",E506="Labor",E506="Dump Fees"),"COGS",IF(OR(E506="Fuel",E506="Insurance",E506="Tools",E506="Repairs"),"Expense","Non-Deductible")))</f>
        <v/>
      </c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  <c r="E507" t="inlineStr">
        <is>
          <t>Tools</t>
        </is>
      </c>
      <c r="F507">
        <f>IF(E507="Income","Revenue",IF(OR(E507="Materials",E507="Labor",E507="Dump Fees"),"COGS",IF(OR(E507="Fuel",E507="Insurance",E507="Tools",E507="Repairs"),"Expense","Non-Deductible")))</f>
        <v/>
      </c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  <c r="E508" t="inlineStr">
        <is>
          <t>Utilities</t>
        </is>
      </c>
      <c r="F508">
        <f>IF(E508="Income","Revenue",IF(OR(E508="Materials",E508="Labor",E508="Dump Fees"),"COGS",IF(OR(E508="Fuel",E508="Insurance",E508="Tools",E508="Repairs"),"Expense","Non-Deductible")))</f>
        <v/>
      </c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  <c r="E509" t="inlineStr">
        <is>
          <t>Tools</t>
        </is>
      </c>
      <c r="F509">
        <f>IF(E509="Income","Revenue",IF(OR(E509="Materials",E509="Labor",E509="Dump Fees"),"COGS",IF(OR(E509="Fuel",E509="Insurance",E509="Tools",E509="Repairs"),"Expense","Non-Deductible")))</f>
        <v/>
      </c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  <c r="E510" t="inlineStr">
        <is>
          <t>Tools</t>
        </is>
      </c>
      <c r="F510">
        <f>IF(E510="Income","Revenue",IF(OR(E510="Materials",E510="Labor",E510="Dump Fees"),"COGS",IF(OR(E510="Fuel",E510="Insurance",E510="Tools",E510="Repairs"),"Expense","Non-Deductible")))</f>
        <v/>
      </c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  <c r="E513" t="inlineStr">
        <is>
          <t>Repairs</t>
        </is>
      </c>
      <c r="F513">
        <f>IF(E513="Income","Revenue",IF(OR(E513="Materials",E513="Labor",E513="Dump Fees"),"COGS",IF(OR(E513="Fuel",E513="Insurance",E513="Tools",E513="Repairs"),"Expense","Non-Deductible")))</f>
        <v/>
      </c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  <c r="E515" t="inlineStr">
        <is>
          <t>Labor</t>
        </is>
      </c>
      <c r="F515">
        <f>IF(E515="Income","Revenue",IF(OR(E515="Materials",E515="Labor",E515="Dump Fees"),"COGS",IF(OR(E515="Fuel",E515="Insurance",E515="Tools",E515="Repairs"),"Expense","Non-Deductible")))</f>
        <v/>
      </c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  <c r="E519" t="inlineStr">
        <is>
          <t>Materials</t>
        </is>
      </c>
      <c r="F519">
        <f>IF(E519="Income","Revenue",IF(OR(E519="Materials",E519="Labor",E519="Dump Fees"),"COGS",IF(OR(E519="Fuel",E519="Insurance",E519="Tools",E519="Repairs"),"Expense","Non-Deductible")))</f>
        <v/>
      </c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  <c r="E520" t="inlineStr">
        <is>
          <t>Materials</t>
        </is>
      </c>
      <c r="F520">
        <f>IF(E520="Income","Revenue",IF(OR(E520="Materials",E520="Labor",E520="Dump Fees"),"COGS",IF(OR(E520="Fuel",E520="Insurance",E520="Tools",E520="Repairs"),"Expense","Non-Deductible")))</f>
        <v/>
      </c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  <c r="E521" t="inlineStr">
        <is>
          <t>Materials</t>
        </is>
      </c>
      <c r="F521">
        <f>IF(E521="Income","Revenue",IF(OR(E521="Materials",E521="Labor",E521="Dump Fees"),"COGS",IF(OR(E521="Fuel",E521="Insurance",E521="Tools",E521="Repairs"),"Expense","Non-Deductible")))</f>
        <v/>
      </c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  <c r="E522" t="inlineStr">
        <is>
          <t>Materials</t>
        </is>
      </c>
      <c r="F522">
        <f>IF(E522="Income","Revenue",IF(OR(E522="Materials",E522="Labor",E522="Dump Fees"),"COGS",IF(OR(E522="Fuel",E522="Insurance",E522="Tools",E522="Repairs"),"Expense","Non-Deductible")))</f>
        <v/>
      </c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  <c r="E523" t="inlineStr">
        <is>
          <t>Tools</t>
        </is>
      </c>
      <c r="F523">
        <f>IF(E523="Income","Revenue",IF(OR(E523="Materials",E523="Labor",E523="Dump Fees"),"COGS",IF(OR(E523="Fuel",E523="Insurance",E523="Tools",E523="Repairs"),"Expense","Non-Deductible")))</f>
        <v/>
      </c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  <c r="E524" t="inlineStr">
        <is>
          <t>Fuel</t>
        </is>
      </c>
      <c r="F524">
        <f>IF(E524="Income","Revenue",IF(OR(E524="Materials",E524="Labor",E524="Dump Fees"),"COGS",IF(OR(E524="Fuel",E524="Insurance",E524="Tools",E524="Repairs"),"Expense","Non-Deductible")))</f>
        <v/>
      </c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  <c r="E525" t="inlineStr">
        <is>
          <t>Fuel</t>
        </is>
      </c>
      <c r="F525">
        <f>IF(E525="Income","Revenue",IF(OR(E525="Materials",E525="Labor",E525="Dump Fees"),"COGS",IF(OR(E525="Fuel",E525="Insurance",E525="Tools",E525="Repairs"),"Expense","Non-Deductible")))</f>
        <v/>
      </c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  <c r="E535" t="inlineStr">
        <is>
          <t>Tools</t>
        </is>
      </c>
      <c r="F535">
        <f>IF(E535="Income","Revenue",IF(OR(E535="Materials",E535="Labor",E535="Dump Fees"),"COGS",IF(OR(E535="Fuel",E535="Insurance",E535="Tools",E535="Repairs"),"Expense","Non-Deductible")))</f>
        <v/>
      </c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  <c r="E537" t="inlineStr">
        <is>
          <t>Labor</t>
        </is>
      </c>
      <c r="F537">
        <f>IF(E537="Income","Revenue",IF(OR(E537="Materials",E537="Labor",E537="Dump Fees"),"COGS",IF(OR(E537="Fuel",E537="Insurance",E537="Tools",E537="Repairs"),"Expense","Non-Deductible")))</f>
        <v/>
      </c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  <c r="E538" t="inlineStr">
        <is>
          <t>Tools</t>
        </is>
      </c>
      <c r="F538">
        <f>IF(E538="Income","Revenue",IF(OR(E538="Materials",E538="Labor",E538="Dump Fees"),"COGS",IF(OR(E538="Fuel",E538="Insurance",E538="Tools",E538="Repairs"),"Expense","Non-Deductible")))</f>
        <v/>
      </c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  <c r="E539" t="inlineStr">
        <is>
          <t>Tools</t>
        </is>
      </c>
      <c r="F539">
        <f>IF(E539="Income","Revenue",IF(OR(E539="Materials",E539="Labor",E539="Dump Fees"),"COGS",IF(OR(E539="Fuel",E539="Insurance",E539="Tools",E539="Repairs"),"Expense","Non-Deductible")))</f>
        <v/>
      </c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  <c r="E541" t="inlineStr">
        <is>
          <t>Utilities</t>
        </is>
      </c>
      <c r="F541">
        <f>IF(E541="Income","Revenue",IF(OR(E541="Materials",E541="Labor",E541="Dump Fees"),"COGS",IF(OR(E541="Fuel",E541="Insurance",E541="Tools",E541="Repairs"),"Expense","Non-Deductible")))</f>
        <v/>
      </c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  <c r="E542" t="inlineStr">
        <is>
          <t>Fuel</t>
        </is>
      </c>
      <c r="F542">
        <f>IF(E542="Income","Revenue",IF(OR(E542="Materials",E542="Labor",E542="Dump Fees"),"COGS",IF(OR(E542="Fuel",E542="Insurance",E542="Tools",E542="Repairs"),"Expense","Non-Deductible")))</f>
        <v/>
      </c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  <c r="E543" t="inlineStr">
        <is>
          <t>Fuel</t>
        </is>
      </c>
      <c r="F543">
        <f>IF(E543="Income","Revenue",IF(OR(E543="Materials",E543="Labor",E543="Dump Fees"),"COGS",IF(OR(E543="Fuel",E543="Insurance",E543="Tools",E543="Repairs"),"Expense","Non-Deductible")))</f>
        <v/>
      </c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  <c r="E544" t="inlineStr">
        <is>
          <t>Tools</t>
        </is>
      </c>
      <c r="F544">
        <f>IF(E544="Income","Revenue",IF(OR(E544="Materials",E544="Labor",E544="Dump Fees"),"COGS",IF(OR(E544="Fuel",E544="Insurance",E544="Tools",E544="Repairs"),"Expense","Non-Deductible")))</f>
        <v/>
      </c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  <c r="E545" t="inlineStr">
        <is>
          <t>Tools</t>
        </is>
      </c>
      <c r="F545">
        <f>IF(E545="Income","Revenue",IF(OR(E545="Materials",E545="Labor",E545="Dump Fees"),"COGS",IF(OR(E545="Fuel",E545="Insurance",E545="Tools",E545="Repairs"),"Expense","Non-Deductible")))</f>
        <v/>
      </c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  <c r="E546" t="inlineStr">
        <is>
          <t>Fuel</t>
        </is>
      </c>
      <c r="F546">
        <f>IF(E546="Income","Revenue",IF(OR(E546="Materials",E546="Labor",E546="Dump Fees"),"COGS",IF(OR(E546="Fuel",E546="Insurance",E546="Tools",E546="Repairs"),"Expense","Non-Deductible")))</f>
        <v/>
      </c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  <c r="E547" t="inlineStr">
        <is>
          <t>Tools</t>
        </is>
      </c>
      <c r="F547">
        <f>IF(E547="Income","Revenue",IF(OR(E547="Materials",E547="Labor",E547="Dump Fees"),"COGS",IF(OR(E547="Fuel",E547="Insurance",E547="Tools",E547="Repairs"),"Expense","Non-Deductible")))</f>
        <v/>
      </c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  <c r="E548" t="inlineStr">
        <is>
          <t>Labor</t>
        </is>
      </c>
      <c r="F548">
        <f>IF(E548="Income","Revenue",IF(OR(E548="Materials",E548="Labor",E548="Dump Fees"),"COGS",IF(OR(E548="Fuel",E548="Insurance",E548="Tools",E548="Repairs"),"Expense","Non-Deductible")))</f>
        <v/>
      </c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  <c r="E549" t="inlineStr">
        <is>
          <t>Utilities</t>
        </is>
      </c>
      <c r="F549">
        <f>IF(E549="Income","Revenue",IF(OR(E549="Materials",E549="Labor",E549="Dump Fees"),"COGS",IF(OR(E549="Fuel",E549="Insurance",E549="Tools",E549="Repairs"),"Expense","Non-Deductible")))</f>
        <v/>
      </c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  <c r="E551" t="inlineStr">
        <is>
          <t>Tools</t>
        </is>
      </c>
      <c r="F551">
        <f>IF(E551="Income","Revenue",IF(OR(E551="Materials",E551="Labor",E551="Dump Fees"),"COGS",IF(OR(E551="Fuel",E551="Insurance",E551="Tools",E551="Repairs"),"Expense","Non-Deductible")))</f>
        <v/>
      </c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  <c r="E552" t="inlineStr">
        <is>
          <t>Materials</t>
        </is>
      </c>
      <c r="F552">
        <f>IF(E552="Income","Revenue",IF(OR(E552="Materials",E552="Labor",E552="Dump Fees"),"COGS",IF(OR(E552="Fuel",E552="Insurance",E552="Tools",E552="Repairs"),"Expense","Non-Deductible")))</f>
        <v/>
      </c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  <c r="E554" t="inlineStr">
        <is>
          <t>Fuel</t>
        </is>
      </c>
      <c r="F554">
        <f>IF(E554="Income","Revenue",IF(OR(E554="Materials",E554="Labor",E554="Dump Fees"),"COGS",IF(OR(E554="Fuel",E554="Insurance",E554="Tools",E554="Repairs"),"Expense","Non-Deductible")))</f>
        <v/>
      </c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  <c r="E555" t="inlineStr">
        <is>
          <t>Fuel</t>
        </is>
      </c>
      <c r="F555">
        <f>IF(E555="Income","Revenue",IF(OR(E555="Materials",E555="Labor",E555="Dump Fees"),"COGS",IF(OR(E555="Fuel",E555="Insurance",E555="Tools",E555="Repairs"),"Expense","Non-Deductible")))</f>
        <v/>
      </c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  <c r="E556" t="inlineStr">
        <is>
          <t>Fuel</t>
        </is>
      </c>
      <c r="F556">
        <f>IF(E556="Income","Revenue",IF(OR(E556="Materials",E556="Labor",E556="Dump Fees"),"COGS",IF(OR(E556="Fuel",E556="Insurance",E556="Tools",E556="Repairs"),"Expense","Non-Deductible")))</f>
        <v/>
      </c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  <c r="E557" t="inlineStr">
        <is>
          <t>Tools</t>
        </is>
      </c>
      <c r="F557">
        <f>IF(E557="Income","Revenue",IF(OR(E557="Materials",E557="Labor",E557="Dump Fees"),"COGS",IF(OR(E557="Fuel",E557="Insurance",E557="Tools",E557="Repairs"),"Expense","Non-Deductible")))</f>
        <v/>
      </c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  <c r="E558" t="inlineStr">
        <is>
          <t>Fuel</t>
        </is>
      </c>
      <c r="F558">
        <f>IF(E558="Income","Revenue",IF(OR(E558="Materials",E558="Labor",E558="Dump Fees"),"COGS",IF(OR(E558="Fuel",E558="Insurance",E558="Tools",E558="Repairs"),"Expense","Non-Deductible")))</f>
        <v/>
      </c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  <c r="E559" t="inlineStr">
        <is>
          <t>Utilities</t>
        </is>
      </c>
      <c r="F559">
        <f>IF(E559="Income","Revenue",IF(OR(E559="Materials",E559="Labor",E559="Dump Fees"),"COGS",IF(OR(E559="Fuel",E559="Insurance",E559="Tools",E559="Repairs"),"Expense","Non-Deductible")))</f>
        <v/>
      </c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  <c r="E560" t="inlineStr">
        <is>
          <t>Fuel</t>
        </is>
      </c>
      <c r="F560">
        <f>IF(E560="Income","Revenue",IF(OR(E560="Materials",E560="Labor",E560="Dump Fees"),"COGS",IF(OR(E560="Fuel",E560="Insurance",E560="Tools",E560="Repairs"),"Expense","Non-Deductible")))</f>
        <v/>
      </c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  <c r="E562" t="inlineStr">
        <is>
          <t>Labor</t>
        </is>
      </c>
      <c r="F562">
        <f>IF(E562="Income","Revenue",IF(OR(E562="Materials",E562="Labor",E562="Dump Fees"),"COGS",IF(OR(E562="Fuel",E562="Insurance",E562="Tools",E562="Repairs"),"Expense","Non-Deductible")))</f>
        <v/>
      </c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  <c r="E563" t="inlineStr">
        <is>
          <t>Materials</t>
        </is>
      </c>
      <c r="F563">
        <f>IF(E563="Income","Revenue",IF(OR(E563="Materials",E563="Labor",E563="Dump Fees"),"COGS",IF(OR(E563="Fuel",E563="Insurance",E563="Tools",E563="Repairs"),"Expense","Non-Deductible")))</f>
        <v/>
      </c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  <c r="E564" t="inlineStr">
        <is>
          <t>Materials</t>
        </is>
      </c>
      <c r="F564">
        <f>IF(E564="Income","Revenue",IF(OR(E564="Materials",E564="Labor",E564="Dump Fees"),"COGS",IF(OR(E564="Fuel",E564="Insurance",E564="Tools",E564="Repairs"),"Expense","Non-Deductible")))</f>
        <v/>
      </c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  <c r="E565" t="inlineStr">
        <is>
          <t>Fuel</t>
        </is>
      </c>
      <c r="F565">
        <f>IF(E565="Income","Revenue",IF(OR(E565="Materials",E565="Labor",E565="Dump Fees"),"COGS",IF(OR(E565="Fuel",E565="Insurance",E565="Tools",E565="Repairs"),"Expense","Non-Deductible")))</f>
        <v/>
      </c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  <c r="E566" t="inlineStr">
        <is>
          <t>Labor</t>
        </is>
      </c>
      <c r="F566">
        <f>IF(E566="Income","Revenue",IF(OR(E566="Materials",E566="Labor",E566="Dump Fees"),"COGS",IF(OR(E566="Fuel",E566="Insurance",E566="Tools",E566="Repairs"),"Expense","Non-Deductible")))</f>
        <v/>
      </c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  <c r="E569" t="inlineStr">
        <is>
          <t>Materials</t>
        </is>
      </c>
      <c r="F569">
        <f>IF(E569="Income","Revenue",IF(OR(E569="Materials",E569="Labor",E569="Dump Fees"),"COGS",IF(OR(E569="Fuel",E569="Insurance",E569="Tools",E569="Repairs"),"Expense","Non-Deductible")))</f>
        <v/>
      </c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  <c r="E570" t="inlineStr">
        <is>
          <t>Materials</t>
        </is>
      </c>
      <c r="F570">
        <f>IF(E570="Income","Revenue",IF(OR(E570="Materials",E570="Labor",E570="Dump Fees"),"COGS",IF(OR(E570="Fuel",E570="Insurance",E570="Tools",E570="Repairs"),"Expense","Non-Deductible")))</f>
        <v/>
      </c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  <c r="E571" t="inlineStr">
        <is>
          <t>Fuel</t>
        </is>
      </c>
      <c r="F571">
        <f>IF(E571="Income","Revenue",IF(OR(E571="Materials",E571="Labor",E571="Dump Fees"),"COGS",IF(OR(E571="Fuel",E571="Insurance",E571="Tools",E571="Repairs"),"Expense","Non-Deductible")))</f>
        <v/>
      </c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  <c r="E572" t="inlineStr">
        <is>
          <t>Tools</t>
        </is>
      </c>
      <c r="F572">
        <f>IF(E572="Income","Revenue",IF(OR(E572="Materials",E572="Labor",E572="Dump Fees"),"COGS",IF(OR(E572="Fuel",E572="Insurance",E572="Tools",E572="Repairs"),"Expense","Non-Deductible")))</f>
        <v/>
      </c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  <c r="E573" t="inlineStr">
        <is>
          <t>Materials</t>
        </is>
      </c>
      <c r="F573">
        <f>IF(E573="Income","Revenue",IF(OR(E573="Materials",E573="Labor",E573="Dump Fees"),"COGS",IF(OR(E573="Fuel",E573="Insurance",E573="Tools",E573="Repairs"),"Expense","Non-Deductible")))</f>
        <v/>
      </c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  <c r="E574" t="inlineStr">
        <is>
          <t>Materials</t>
        </is>
      </c>
      <c r="F574">
        <f>IF(E574="Income","Revenue",IF(OR(E574="Materials",E574="Labor",E574="Dump Fees"),"COGS",IF(OR(E574="Fuel",E574="Insurance",E574="Tools",E574="Repairs"),"Expense","Non-Deductible")))</f>
        <v/>
      </c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  <c r="E575" t="inlineStr">
        <is>
          <t>Fuel</t>
        </is>
      </c>
      <c r="F575">
        <f>IF(E575="Income","Revenue",IF(OR(E575="Materials",E575="Labor",E575="Dump Fees"),"COGS",IF(OR(E575="Fuel",E575="Insurance",E575="Tools",E575="Repairs"),"Expense","Non-Deductible")))</f>
        <v/>
      </c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  <c r="E576" t="inlineStr">
        <is>
          <t>Tools</t>
        </is>
      </c>
      <c r="F576">
        <f>IF(E576="Income","Revenue",IF(OR(E576="Materials",E576="Labor",E576="Dump Fees"),"COGS",IF(OR(E576="Fuel",E576="Insurance",E576="Tools",E576="Repairs"),"Expense","Non-Deductible")))</f>
        <v/>
      </c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  <c r="E577" t="inlineStr">
        <is>
          <t>Tools</t>
        </is>
      </c>
      <c r="F577">
        <f>IF(E577="Income","Revenue",IF(OR(E577="Materials",E577="Labor",E577="Dump Fees"),"COGS",IF(OR(E577="Fuel",E577="Insurance",E577="Tools",E577="Repairs"),"Expense","Non-Deductible")))</f>
        <v/>
      </c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  <c r="E578" t="inlineStr">
        <is>
          <t>Tools</t>
        </is>
      </c>
      <c r="F578">
        <f>IF(E578="Income","Revenue",IF(OR(E578="Materials",E578="Labor",E578="Dump Fees"),"COGS",IF(OR(E578="Fuel",E578="Insurance",E578="Tools",E578="Repairs"),"Expense","Non-Deductible")))</f>
        <v/>
      </c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  <c r="E579" t="inlineStr">
        <is>
          <t>Tools</t>
        </is>
      </c>
      <c r="F579">
        <f>IF(E579="Income","Revenue",IF(OR(E579="Materials",E579="Labor",E579="Dump Fees"),"COGS",IF(OR(E579="Fuel",E579="Insurance",E579="Tools",E579="Repairs"),"Expense","Non-Deductible")))</f>
        <v/>
      </c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  <c r="E580" t="inlineStr">
        <is>
          <t>Tools</t>
        </is>
      </c>
      <c r="F580">
        <f>IF(E580="Income","Revenue",IF(OR(E580="Materials",E580="Labor",E580="Dump Fees"),"COGS",IF(OR(E580="Fuel",E580="Insurance",E580="Tools",E580="Repairs"),"Expense","Non-Deductible")))</f>
        <v/>
      </c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  <c r="E581" t="inlineStr">
        <is>
          <t>Tools</t>
        </is>
      </c>
      <c r="F581">
        <f>IF(E581="Income","Revenue",IF(OR(E581="Materials",E581="Labor",E581="Dump Fees"),"COGS",IF(OR(E581="Fuel",E581="Insurance",E581="Tools",E581="Repairs"),"Expense","Non-Deductible")))</f>
        <v/>
      </c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  <c r="E582" t="inlineStr">
        <is>
          <t>Tools</t>
        </is>
      </c>
      <c r="F582">
        <f>IF(E582="Income","Revenue",IF(OR(E582="Materials",E582="Labor",E582="Dump Fees"),"COGS",IF(OR(E582="Fuel",E582="Insurance",E582="Tools",E582="Repairs"),"Expense","Non-Deductible")))</f>
        <v/>
      </c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  <c r="E583" t="inlineStr">
        <is>
          <t>Fuel</t>
        </is>
      </c>
      <c r="F583">
        <f>IF(E583="Income","Revenue",IF(OR(E583="Materials",E583="Labor",E583="Dump Fees"),"COGS",IF(OR(E583="Fuel",E583="Insurance",E583="Tools",E583="Repairs"),"Expense","Non-Deductible")))</f>
        <v/>
      </c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  <c r="E584" t="inlineStr">
        <is>
          <t>Materials</t>
        </is>
      </c>
      <c r="F584">
        <f>IF(E584="Income","Revenue",IF(OR(E584="Materials",E584="Labor",E584="Dump Fees"),"COGS",IF(OR(E584="Fuel",E584="Insurance",E584="Tools",E584="Repairs"),"Expense","Non-Deductible")))</f>
        <v/>
      </c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  <c r="E585" t="inlineStr">
        <is>
          <t>Tools</t>
        </is>
      </c>
      <c r="F585">
        <f>IF(E585="Income","Revenue",IF(OR(E585="Materials",E585="Labor",E585="Dump Fees"),"COGS",IF(OR(E585="Fuel",E585="Insurance",E585="Tools",E585="Repairs"),"Expense","Non-Deductible")))</f>
        <v/>
      </c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  <c r="E586" t="inlineStr">
        <is>
          <t>Fuel</t>
        </is>
      </c>
      <c r="F586">
        <f>IF(E586="Income","Revenue",IF(OR(E586="Materials",E586="Labor",E586="Dump Fees"),"COGS",IF(OR(E586="Fuel",E586="Insurance",E586="Tools",E586="Repairs"),"Expense","Non-Deductible")))</f>
        <v/>
      </c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  <c r="E587" t="inlineStr">
        <is>
          <t>Tools</t>
        </is>
      </c>
      <c r="F587">
        <f>IF(E587="Income","Revenue",IF(OR(E587="Materials",E587="Labor",E587="Dump Fees"),"COGS",IF(OR(E587="Fuel",E587="Insurance",E587="Tools",E587="Repairs"),"Expense","Non-Deductible")))</f>
        <v/>
      </c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  <c r="E588" t="inlineStr">
        <is>
          <t>Tools</t>
        </is>
      </c>
      <c r="F588">
        <f>IF(E588="Income","Revenue",IF(OR(E588="Materials",E588="Labor",E588="Dump Fees"),"COGS",IF(OR(E588="Fuel",E588="Insurance",E588="Tools",E588="Repairs"),"Expense","Non-Deductible")))</f>
        <v/>
      </c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  <c r="E589" t="inlineStr">
        <is>
          <t>Tools</t>
        </is>
      </c>
      <c r="F589">
        <f>IF(E589="Income","Revenue",IF(OR(E589="Materials",E589="Labor",E589="Dump Fees"),"COGS",IF(OR(E589="Fuel",E589="Insurance",E589="Tools",E589="Repairs"),"Expense","Non-Deductible")))</f>
        <v/>
      </c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  <c r="E590" t="inlineStr">
        <is>
          <t>Materials</t>
        </is>
      </c>
      <c r="F590">
        <f>IF(E590="Income","Revenue",IF(OR(E590="Materials",E590="Labor",E590="Dump Fees"),"COGS",IF(OR(E590="Fuel",E590="Insurance",E590="Tools",E590="Repairs"),"Expense","Non-Deductible")))</f>
        <v/>
      </c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  <c r="E591" t="inlineStr">
        <is>
          <t>Fuel</t>
        </is>
      </c>
      <c r="F591">
        <f>IF(E591="Income","Revenue",IF(OR(E591="Materials",E591="Labor",E591="Dump Fees"),"COGS",IF(OR(E591="Fuel",E591="Insurance",E591="Tools",E591="Repairs"),"Expense","Non-Deductible")))</f>
        <v/>
      </c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  <c r="E592" t="inlineStr">
        <is>
          <t>Materials</t>
        </is>
      </c>
      <c r="F592">
        <f>IF(E592="Income","Revenue",IF(OR(E592="Materials",E592="Labor",E592="Dump Fees"),"COGS",IF(OR(E592="Fuel",E592="Insurance",E592="Tools",E592="Repairs"),"Expense","Non-Deductible")))</f>
        <v/>
      </c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  <c r="E593" t="inlineStr">
        <is>
          <t>Tools</t>
        </is>
      </c>
      <c r="F593">
        <f>IF(E593="Income","Revenue",IF(OR(E593="Materials",E593="Labor",E593="Dump Fees"),"COGS",IF(OR(E593="Fuel",E593="Insurance",E593="Tools",E593="Repairs"),"Expense","Non-Deductible")))</f>
        <v/>
      </c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  <c r="E594" t="inlineStr">
        <is>
          <t>Materials</t>
        </is>
      </c>
      <c r="F594">
        <f>IF(E594="Income","Revenue",IF(OR(E594="Materials",E594="Labor",E594="Dump Fees"),"COGS",IF(OR(E594="Fuel",E594="Insurance",E594="Tools",E594="Repairs"),"Expense","Non-Deductible")))</f>
        <v/>
      </c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  <c r="E595" t="inlineStr">
        <is>
          <t>Materials</t>
        </is>
      </c>
      <c r="F595">
        <f>IF(E595="Income","Revenue",IF(OR(E595="Materials",E595="Labor",E595="Dump Fees"),"COGS",IF(OR(E595="Fuel",E595="Insurance",E595="Tools",E595="Repairs"),"Expense","Non-Deductible")))</f>
        <v/>
      </c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  <c r="E596" t="inlineStr">
        <is>
          <t>Utilities</t>
        </is>
      </c>
      <c r="F596">
        <f>IF(E596="Income","Revenue",IF(OR(E596="Materials",E596="Labor",E596="Dump Fees"),"COGS",IF(OR(E596="Fuel",E596="Insurance",E596="Tools",E596="Repairs"),"Expense","Non-Deductible")))</f>
        <v/>
      </c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  <c r="E597" t="inlineStr">
        <is>
          <t>Tools</t>
        </is>
      </c>
      <c r="F597">
        <f>IF(E597="Income","Revenue",IF(OR(E597="Materials",E597="Labor",E597="Dump Fees"),"COGS",IF(OR(E597="Fuel",E597="Insurance",E597="Tools",E597="Repairs"),"Expense","Non-Deductible")))</f>
        <v/>
      </c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  <c r="E598" t="inlineStr">
        <is>
          <t>Utilities</t>
        </is>
      </c>
      <c r="F598">
        <f>IF(E598="Income","Revenue",IF(OR(E598="Materials",E598="Labor",E598="Dump Fees"),"COGS",IF(OR(E598="Fuel",E598="Insurance",E598="Tools",E598="Repairs"),"Expense","Non-Deductible")))</f>
        <v/>
      </c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  <c r="E599" t="inlineStr">
        <is>
          <t>Tools</t>
        </is>
      </c>
      <c r="F599">
        <f>IF(E599="Income","Revenue",IF(OR(E599="Materials",E599="Labor",E599="Dump Fees"),"COGS",IF(OR(E599="Fuel",E599="Insurance",E599="Tools",E599="Repairs"),"Expense","Non-Deductible")))</f>
        <v/>
      </c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  <c r="E600" t="inlineStr">
        <is>
          <t>Tools</t>
        </is>
      </c>
      <c r="F600">
        <f>IF(E600="Income","Revenue",IF(OR(E600="Materials",E600="Labor",E600="Dump Fees"),"COGS",IF(OR(E600="Fuel",E600="Insurance",E600="Tools",E600="Repairs"),"Expense","Non-Deductible")))</f>
        <v/>
      </c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  <c r="E601" t="inlineStr">
        <is>
          <t>Materials</t>
        </is>
      </c>
      <c r="F601">
        <f>IF(E601="Income","Revenue",IF(OR(E601="Materials",E601="Labor",E601="Dump Fees"),"COGS",IF(OR(E601="Fuel",E601="Insurance",E601="Tools",E601="Repairs"),"Expense","Non-Deductible")))</f>
        <v/>
      </c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  <c r="E602" t="inlineStr">
        <is>
          <t>Materials</t>
        </is>
      </c>
      <c r="F602">
        <f>IF(E602="Income","Revenue",IF(OR(E602="Materials",E602="Labor",E602="Dump Fees"),"COGS",IF(OR(E602="Fuel",E602="Insurance",E602="Tools",E602="Repairs"),"Expense","Non-Deductible")))</f>
        <v/>
      </c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  <c r="E603" t="inlineStr">
        <is>
          <t>Materials</t>
        </is>
      </c>
      <c r="F603">
        <f>IF(E603="Income","Revenue",IF(OR(E603="Materials",E603="Labor",E603="Dump Fees"),"COGS",IF(OR(E603="Fuel",E603="Insurance",E603="Tools",E603="Repairs"),"Expense","Non-Deductible")))</f>
        <v/>
      </c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  <c r="E604" t="inlineStr">
        <is>
          <t>Insurance</t>
        </is>
      </c>
      <c r="F604">
        <f>IF(E604="Income","Revenue",IF(OR(E604="Materials",E604="Labor",E604="Dump Fees"),"COGS",IF(OR(E604="Fuel",E604="Insurance",E604="Tools",E604="Repairs"),"Expense","Non-Deductible")))</f>
        <v/>
      </c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  <c r="E605" t="inlineStr">
        <is>
          <t>Fuel</t>
        </is>
      </c>
      <c r="F605">
        <f>IF(E605="Income","Revenue",IF(OR(E605="Materials",E605="Labor",E605="Dump Fees"),"COGS",IF(OR(E605="Fuel",E605="Insurance",E605="Tools",E605="Repairs"),"Expense","Non-Deductible")))</f>
        <v/>
      </c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  <c r="E606" t="inlineStr">
        <is>
          <t>Tools</t>
        </is>
      </c>
      <c r="F606">
        <f>IF(E606="Income","Revenue",IF(OR(E606="Materials",E606="Labor",E606="Dump Fees"),"COGS",IF(OR(E606="Fuel",E606="Insurance",E606="Tools",E606="Repairs"),"Expense","Non-Deductible")))</f>
        <v/>
      </c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  <c r="E607" t="inlineStr">
        <is>
          <t>Tools</t>
        </is>
      </c>
      <c r="F607">
        <f>IF(E607="Income","Revenue",IF(OR(E607="Materials",E607="Labor",E607="Dump Fees"),"COGS",IF(OR(E607="Fuel",E607="Insurance",E607="Tools",E607="Repairs"),"Expense","Non-Deductible")))</f>
        <v/>
      </c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  <c r="E608" t="inlineStr">
        <is>
          <t>Tools</t>
        </is>
      </c>
      <c r="F608">
        <f>IF(E608="Income","Revenue",IF(OR(E608="Materials",E608="Labor",E608="Dump Fees"),"COGS",IF(OR(E608="Fuel",E608="Insurance",E608="Tools",E608="Repairs"),"Expense","Non-Deductible")))</f>
        <v/>
      </c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  <c r="E609" t="inlineStr">
        <is>
          <t>Tools</t>
        </is>
      </c>
      <c r="F609">
        <f>IF(E609="Income","Revenue",IF(OR(E609="Materials",E609="Labor",E609="Dump Fees"),"COGS",IF(OR(E609="Fuel",E609="Insurance",E609="Tools",E609="Repairs"),"Expense","Non-Deductible")))</f>
        <v/>
      </c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  <c r="E610" t="inlineStr">
        <is>
          <t>Fuel</t>
        </is>
      </c>
      <c r="F610">
        <f>IF(E610="Income","Revenue",IF(OR(E610="Materials",E610="Labor",E610="Dump Fees"),"COGS",IF(OR(E610="Fuel",E610="Insurance",E610="Tools",E610="Repairs"),"Expense","Non-Deductible")))</f>
        <v/>
      </c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  <c r="E611" t="inlineStr">
        <is>
          <t>Tools</t>
        </is>
      </c>
      <c r="F611">
        <f>IF(E611="Income","Revenue",IF(OR(E611="Materials",E611="Labor",E611="Dump Fees"),"COGS",IF(OR(E611="Fuel",E611="Insurance",E611="Tools",E611="Repairs"),"Expense","Non-Deductible")))</f>
        <v/>
      </c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  <c r="E612" t="inlineStr">
        <is>
          <t>Tools</t>
        </is>
      </c>
      <c r="F612">
        <f>IF(E612="Income","Revenue",IF(OR(E612="Materials",E612="Labor",E612="Dump Fees"),"COGS",IF(OR(E612="Fuel",E612="Insurance",E612="Tools",E612="Repairs"),"Expense","Non-Deductible")))</f>
        <v/>
      </c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  <c r="E613" t="inlineStr">
        <is>
          <t>Tools</t>
        </is>
      </c>
      <c r="F613">
        <f>IF(E613="Income","Revenue",IF(OR(E613="Materials",E613="Labor",E613="Dump Fees"),"COGS",IF(OR(E613="Fuel",E613="Insurance",E613="Tools",E613="Repairs"),"Expense","Non-Deductible")))</f>
        <v/>
      </c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  <c r="E614" t="inlineStr">
        <is>
          <t>Tools</t>
        </is>
      </c>
      <c r="F614">
        <f>IF(E614="Income","Revenue",IF(OR(E614="Materials",E614="Labor",E614="Dump Fees"),"COGS",IF(OR(E614="Fuel",E614="Insurance",E614="Tools",E614="Repairs"),"Expense","Non-Deductible")))</f>
        <v/>
      </c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  <c r="E615" t="inlineStr">
        <is>
          <t>Tools</t>
        </is>
      </c>
      <c r="F615">
        <f>IF(E615="Income","Revenue",IF(OR(E615="Materials",E615="Labor",E615="Dump Fees"),"COGS",IF(OR(E615="Fuel",E615="Insurance",E615="Tools",E615="Repairs"),"Expense","Non-Deductible")))</f>
        <v/>
      </c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  <c r="E616" t="inlineStr">
        <is>
          <t>Utilities</t>
        </is>
      </c>
      <c r="F616">
        <f>IF(E616="Income","Revenue",IF(OR(E616="Materials",E616="Labor",E616="Dump Fees"),"COGS",IF(OR(E616="Fuel",E616="Insurance",E616="Tools",E616="Repairs"),"Expense","Non-Deductible")))</f>
        <v/>
      </c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  <c r="E617" t="inlineStr">
        <is>
          <t>Fuel</t>
        </is>
      </c>
      <c r="F617">
        <f>IF(E617="Income","Revenue",IF(OR(E617="Materials",E617="Labor",E617="Dump Fees"),"COGS",IF(OR(E617="Fuel",E617="Insurance",E617="Tools",E617="Repairs"),"Expense","Non-Deductible")))</f>
        <v/>
      </c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  <c r="E618" t="inlineStr">
        <is>
          <t>Tools</t>
        </is>
      </c>
      <c r="F618">
        <f>IF(E618="Income","Revenue",IF(OR(E618="Materials",E618="Labor",E618="Dump Fees"),"COGS",IF(OR(E618="Fuel",E618="Insurance",E618="Tools",E618="Repairs"),"Expense","Non-Deductible")))</f>
        <v/>
      </c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  <c r="E619" t="inlineStr">
        <is>
          <t>Tools</t>
        </is>
      </c>
      <c r="F619">
        <f>IF(E619="Income","Revenue",IF(OR(E619="Materials",E619="Labor",E619="Dump Fees"),"COGS",IF(OR(E619="Fuel",E619="Insurance",E619="Tools",E619="Repairs"),"Expense","Non-Deductible")))</f>
        <v/>
      </c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  <c r="E620" t="inlineStr">
        <is>
          <t>Tools</t>
        </is>
      </c>
      <c r="F620">
        <f>IF(E620="Income","Revenue",IF(OR(E620="Materials",E620="Labor",E620="Dump Fees"),"COGS",IF(OR(E620="Fuel",E620="Insurance",E620="Tools",E620="Repairs"),"Expense","Non-Deductible")))</f>
        <v/>
      </c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  <c r="E621" t="inlineStr">
        <is>
          <t>Materials</t>
        </is>
      </c>
      <c r="F621">
        <f>IF(E621="Income","Revenue",IF(OR(E621="Materials",E621="Labor",E621="Dump Fees"),"COGS",IF(OR(E621="Fuel",E621="Insurance",E621="Tools",E621="Repairs"),"Expense","Non-Deductible")))</f>
        <v/>
      </c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  <c r="E622" t="inlineStr">
        <is>
          <t>Utilities</t>
        </is>
      </c>
      <c r="F622">
        <f>IF(E622="Income","Revenue",IF(OR(E622="Materials",E622="Labor",E622="Dump Fees"),"COGS",IF(OR(E622="Fuel",E622="Insurance",E622="Tools",E622="Repairs"),"Expense","Non-Deductible")))</f>
        <v/>
      </c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  <c r="E623" t="inlineStr">
        <is>
          <t>Fuel</t>
        </is>
      </c>
      <c r="F623">
        <f>IF(E623="Income","Revenue",IF(OR(E623="Materials",E623="Labor",E623="Dump Fees"),"COGS",IF(OR(E623="Fuel",E623="Insurance",E623="Tools",E623="Repairs"),"Expense","Non-Deductible")))</f>
        <v/>
      </c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  <c r="E624" t="inlineStr">
        <is>
          <t>Tools</t>
        </is>
      </c>
      <c r="F624">
        <f>IF(E624="Income","Revenue",IF(OR(E624="Materials",E624="Labor",E624="Dump Fees"),"COGS",IF(OR(E624="Fuel",E624="Insurance",E624="Tools",E624="Repairs"),"Expense","Non-Deductible")))</f>
        <v/>
      </c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  <c r="E625" t="inlineStr">
        <is>
          <t>Utilities</t>
        </is>
      </c>
      <c r="F625">
        <f>IF(E625="Income","Revenue",IF(OR(E625="Materials",E625="Labor",E625="Dump Fees"),"COGS",IF(OR(E625="Fuel",E625="Insurance",E625="Tools",E625="Repairs"),"Expense","Non-Deductible")))</f>
        <v/>
      </c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  <c r="E626" t="inlineStr">
        <is>
          <t>Fuel</t>
        </is>
      </c>
      <c r="F626">
        <f>IF(E626="Income","Revenue",IF(OR(E626="Materials",E626="Labor",E626="Dump Fees"),"COGS",IF(OR(E626="Fuel",E626="Insurance",E626="Tools",E626="Repairs"),"Expense","Non-Deductible")))</f>
        <v/>
      </c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  <c r="E627" t="inlineStr">
        <is>
          <t>Tools</t>
        </is>
      </c>
      <c r="F627">
        <f>IF(E627="Income","Revenue",IF(OR(E627="Materials",E627="Labor",E627="Dump Fees"),"COGS",IF(OR(E627="Fuel",E627="Insurance",E627="Tools",E627="Repairs"),"Expense","Non-Deductible")))</f>
        <v/>
      </c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  <c r="E628" t="inlineStr">
        <is>
          <t>Tools</t>
        </is>
      </c>
      <c r="F628">
        <f>IF(E628="Income","Revenue",IF(OR(E628="Materials",E628="Labor",E628="Dump Fees"),"COGS",IF(OR(E628="Fuel",E628="Insurance",E628="Tools",E628="Repairs"),"Expense","Non-Deductible")))</f>
        <v/>
      </c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  <c r="E629" t="inlineStr">
        <is>
          <t>Utilities</t>
        </is>
      </c>
      <c r="F629">
        <f>IF(E629="Income","Revenue",IF(OR(E629="Materials",E629="Labor",E629="Dump Fees"),"COGS",IF(OR(E629="Fuel",E629="Insurance",E629="Tools",E629="Repairs"),"Expense","Non-Deductible")))</f>
        <v/>
      </c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  <c r="E630" t="inlineStr">
        <is>
          <t>Utilities</t>
        </is>
      </c>
      <c r="F630">
        <f>IF(E630="Income","Revenue",IF(OR(E630="Materials",E630="Labor",E630="Dump Fees"),"COGS",IF(OR(E630="Fuel",E630="Insurance",E630="Tools",E630="Repairs"),"Expense","Non-Deductible")))</f>
        <v/>
      </c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  <c r="E631" t="inlineStr">
        <is>
          <t>Tools</t>
        </is>
      </c>
      <c r="F631">
        <f>IF(E631="Income","Revenue",IF(OR(E631="Materials",E631="Labor",E631="Dump Fees"),"COGS",IF(OR(E631="Fuel",E631="Insurance",E631="Tools",E631="Repairs"),"Expense","Non-Deductible")))</f>
        <v/>
      </c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  <c r="E632" t="inlineStr">
        <is>
          <t>Labor</t>
        </is>
      </c>
      <c r="F632">
        <f>IF(E632="Income","Revenue",IF(OR(E632="Materials",E632="Labor",E632="Dump Fees"),"COGS",IF(OR(E632="Fuel",E632="Insurance",E632="Tools",E632="Repairs"),"Expense","Non-Deductible")))</f>
        <v/>
      </c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  <c r="E633" t="inlineStr">
        <is>
          <t>Tools</t>
        </is>
      </c>
      <c r="F633">
        <f>IF(E633="Income","Revenue",IF(OR(E633="Materials",E633="Labor",E633="Dump Fees"),"COGS",IF(OR(E633="Fuel",E633="Insurance",E633="Tools",E633="Repairs"),"Expense","Non-Deductible")))</f>
        <v/>
      </c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  <c r="E634" t="inlineStr">
        <is>
          <t>Utilities</t>
        </is>
      </c>
      <c r="F634">
        <f>IF(E634="Income","Revenue",IF(OR(E634="Materials",E634="Labor",E634="Dump Fees"),"COGS",IF(OR(E634="Fuel",E634="Insurance",E634="Tools",E634="Repairs"),"Expense","Non-Deductible")))</f>
        <v/>
      </c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  <c r="E635" t="inlineStr">
        <is>
          <t>Utilities</t>
        </is>
      </c>
      <c r="F635">
        <f>IF(E635="Income","Revenue",IF(OR(E635="Materials",E635="Labor",E635="Dump Fees"),"COGS",IF(OR(E635="Fuel",E635="Insurance",E635="Tools",E635="Repairs"),"Expense","Non-Deductible")))</f>
        <v/>
      </c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  <c r="E636" t="inlineStr">
        <is>
          <t>Materials</t>
        </is>
      </c>
      <c r="F636">
        <f>IF(E636="Income","Revenue",IF(OR(E636="Materials",E636="Labor",E636="Dump Fees"),"COGS",IF(OR(E636="Fuel",E636="Insurance",E636="Tools",E636="Repairs"),"Expense","Non-Deductible")))</f>
        <v/>
      </c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  <c r="E637" t="inlineStr">
        <is>
          <t>Tools</t>
        </is>
      </c>
      <c r="F637">
        <f>IF(E637="Income","Revenue",IF(OR(E637="Materials",E637="Labor",E637="Dump Fees"),"COGS",IF(OR(E637="Fuel",E637="Insurance",E637="Tools",E637="Repairs"),"Expense","Non-Deductible")))</f>
        <v/>
      </c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  <c r="E638" t="inlineStr">
        <is>
          <t>Tools</t>
        </is>
      </c>
      <c r="F638">
        <f>IF(E638="Income","Revenue",IF(OR(E638="Materials",E638="Labor",E638="Dump Fees"),"COGS",IF(OR(E638="Fuel",E638="Insurance",E638="Tools",E638="Repairs"),"Expense","Non-Deductible")))</f>
        <v/>
      </c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  <c r="E639" t="inlineStr">
        <is>
          <t>Tools</t>
        </is>
      </c>
      <c r="F639">
        <f>IF(E639="Income","Revenue",IF(OR(E639="Materials",E639="Labor",E639="Dump Fees"),"COGS",IF(OR(E639="Fuel",E639="Insurance",E639="Tools",E639="Repairs"),"Expense","Non-Deductible")))</f>
        <v/>
      </c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  <c r="E640" t="inlineStr">
        <is>
          <t>Tools</t>
        </is>
      </c>
      <c r="F640">
        <f>IF(E640="Income","Revenue",IF(OR(E640="Materials",E640="Labor",E640="Dump Fees"),"COGS",IF(OR(E640="Fuel",E640="Insurance",E640="Tools",E640="Repairs"),"Expense","Non-Deductible")))</f>
        <v/>
      </c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  <c r="E641" t="inlineStr">
        <is>
          <t>Utilities</t>
        </is>
      </c>
      <c r="F641">
        <f>IF(E641="Income","Revenue",IF(OR(E641="Materials",E641="Labor",E641="Dump Fees"),"COGS",IF(OR(E641="Fuel",E641="Insurance",E641="Tools",E641="Repairs"),"Expense","Non-Deductible")))</f>
        <v/>
      </c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  <c r="E642" t="inlineStr">
        <is>
          <t>Repairs</t>
        </is>
      </c>
      <c r="F642">
        <f>IF(E642="Income","Revenue",IF(OR(E642="Materials",E642="Labor",E642="Dump Fees"),"COGS",IF(OR(E642="Fuel",E642="Insurance",E642="Tools",E642="Repairs"),"Expense","Non-Deductible")))</f>
        <v/>
      </c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  <c r="E643" t="inlineStr">
        <is>
          <t>Fuel</t>
        </is>
      </c>
      <c r="F643">
        <f>IF(E643="Income","Revenue",IF(OR(E643="Materials",E643="Labor",E643="Dump Fees"),"COGS",IF(OR(E643="Fuel",E643="Insurance",E643="Tools",E643="Repairs"),"Expense","Non-Deductible")))</f>
        <v/>
      </c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  <c r="E644" t="inlineStr">
        <is>
          <t>Tools</t>
        </is>
      </c>
      <c r="F644">
        <f>IF(E644="Income","Revenue",IF(OR(E644="Materials",E644="Labor",E644="Dump Fees"),"COGS",IF(OR(E644="Fuel",E644="Insurance",E644="Tools",E644="Repairs"),"Expense","Non-Deductible")))</f>
        <v/>
      </c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  <c r="E645" t="inlineStr">
        <is>
          <t>Tools</t>
        </is>
      </c>
      <c r="F645">
        <f>IF(E645="Income","Revenue",IF(OR(E645="Materials",E645="Labor",E645="Dump Fees"),"COGS",IF(OR(E645="Fuel",E645="Insurance",E645="Tools",E645="Repairs"),"Expense","Non-Deductible")))</f>
        <v/>
      </c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  <c r="E646" t="inlineStr">
        <is>
          <t>Tools</t>
        </is>
      </c>
      <c r="F646">
        <f>IF(E646="Income","Revenue",IF(OR(E646="Materials",E646="Labor",E646="Dump Fees"),"COGS",IF(OR(E646="Fuel",E646="Insurance",E646="Tools",E646="Repairs"),"Expense","Non-Deductible")))</f>
        <v/>
      </c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  <c r="E647" t="inlineStr">
        <is>
          <t>Tools</t>
        </is>
      </c>
      <c r="F647">
        <f>IF(E647="Income","Revenue",IF(OR(E647="Materials",E647="Labor",E647="Dump Fees"),"COGS",IF(OR(E647="Fuel",E647="Insurance",E647="Tools",E647="Repairs"),"Expense","Non-Deductible")))</f>
        <v/>
      </c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  <c r="E648" t="inlineStr">
        <is>
          <t>Tools</t>
        </is>
      </c>
      <c r="F648">
        <f>IF(E648="Income","Revenue",IF(OR(E648="Materials",E648="Labor",E648="Dump Fees"),"COGS",IF(OR(E648="Fuel",E648="Insurance",E648="Tools",E648="Repairs"),"Expense","Non-Deductible")))</f>
        <v/>
      </c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  <c r="E649" t="inlineStr">
        <is>
          <t>Fuel</t>
        </is>
      </c>
      <c r="F649">
        <f>IF(E649="Income","Revenue",IF(OR(E649="Materials",E649="Labor",E649="Dump Fees"),"COGS",IF(OR(E649="Fuel",E649="Insurance",E649="Tools",E649="Repairs"),"Expense","Non-Deductible")))</f>
        <v/>
      </c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  <c r="E650" t="inlineStr">
        <is>
          <t>Utilities</t>
        </is>
      </c>
      <c r="F650">
        <f>IF(E650="Income","Revenue",IF(OR(E650="Materials",E650="Labor",E650="Dump Fees"),"COGS",IF(OR(E650="Fuel",E650="Insurance",E650="Tools",E650="Repairs"),"Expense","Non-Deductible")))</f>
        <v/>
      </c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  <c r="E651" t="inlineStr">
        <is>
          <t>Tools</t>
        </is>
      </c>
      <c r="F651">
        <f>IF(E651="Income","Revenue",IF(OR(E651="Materials",E651="Labor",E651="Dump Fees"),"COGS",IF(OR(E651="Fuel",E651="Insurance",E651="Tools",E651="Repairs"),"Expense","Non-Deductible")))</f>
        <v/>
      </c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  <c r="E652" t="inlineStr">
        <is>
          <t>Tools</t>
        </is>
      </c>
      <c r="F652">
        <f>IF(E652="Income","Revenue",IF(OR(E652="Materials",E652="Labor",E652="Dump Fees"),"COGS",IF(OR(E652="Fuel",E652="Insurance",E652="Tools",E652="Repairs"),"Expense","Non-Deductible")))</f>
        <v/>
      </c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  <c r="E653" t="inlineStr">
        <is>
          <t>Tools</t>
        </is>
      </c>
      <c r="F653">
        <f>IF(E653="Income","Revenue",IF(OR(E653="Materials",E653="Labor",E653="Dump Fees"),"COGS",IF(OR(E653="Fuel",E653="Insurance",E653="Tools",E653="Repairs"),"Expense","Non-Deductible")))</f>
        <v/>
      </c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  <c r="E654" t="inlineStr">
        <is>
          <t>Labor</t>
        </is>
      </c>
      <c r="F654">
        <f>IF(E654="Income","Revenue",IF(OR(E654="Materials",E654="Labor",E654="Dump Fees"),"COGS",IF(OR(E654="Fuel",E654="Insurance",E654="Tools",E654="Repairs"),"Expense","Non-Deductible")))</f>
        <v/>
      </c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  <c r="E655" t="inlineStr">
        <is>
          <t>Insurance</t>
        </is>
      </c>
      <c r="F655">
        <f>IF(E655="Income","Revenue",IF(OR(E655="Materials",E655="Labor",E655="Dump Fees"),"COGS",IF(OR(E655="Fuel",E655="Insurance",E655="Tools",E655="Repairs"),"Expense","Non-Deductible")))</f>
        <v/>
      </c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  <c r="E656" t="inlineStr">
        <is>
          <t>Labor</t>
        </is>
      </c>
      <c r="F656">
        <f>IF(E656="Income","Revenue",IF(OR(E656="Materials",E656="Labor",E656="Dump Fees"),"COGS",IF(OR(E656="Fuel",E656="Insurance",E656="Tools",E656="Repairs"),"Expense","Non-Deductible")))</f>
        <v/>
      </c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  <c r="E657" t="inlineStr">
        <is>
          <t>Labor</t>
        </is>
      </c>
      <c r="F657">
        <f>IF(E657="Income","Revenue",IF(OR(E657="Materials",E657="Labor",E657="Dump Fees"),"COGS",IF(OR(E657="Fuel",E657="Insurance",E657="Tools",E657="Repairs"),"Expense","Non-Deductible")))</f>
        <v/>
      </c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  <c r="E658" t="inlineStr">
        <is>
          <t>Labor</t>
        </is>
      </c>
      <c r="F658">
        <f>IF(E658="Income","Revenue",IF(OR(E658="Materials",E658="Labor",E658="Dump Fees"),"COGS",IF(OR(E658="Fuel",E658="Insurance",E658="Tools",E658="Repairs"),"Expense","Non-Deductible")))</f>
        <v/>
      </c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  <c r="E659" t="inlineStr">
        <is>
          <t>Tools</t>
        </is>
      </c>
      <c r="F659">
        <f>IF(E659="Income","Revenue",IF(OR(E659="Materials",E659="Labor",E659="Dump Fees"),"COGS",IF(OR(E659="Fuel",E659="Insurance",E659="Tools",E659="Repairs"),"Expense","Non-Deductible")))</f>
        <v/>
      </c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  <c r="E660" t="inlineStr">
        <is>
          <t>Tools</t>
        </is>
      </c>
      <c r="F660">
        <f>IF(E660="Income","Revenue",IF(OR(E660="Materials",E660="Labor",E660="Dump Fees"),"COGS",IF(OR(E660="Fuel",E660="Insurance",E660="Tools",E660="Repairs"),"Expense","Non-Deductible")))</f>
        <v/>
      </c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  <c r="E661" t="inlineStr">
        <is>
          <t>Materials</t>
        </is>
      </c>
      <c r="F661">
        <f>IF(E661="Income","Revenue",IF(OR(E661="Materials",E661="Labor",E661="Dump Fees"),"COGS",IF(OR(E661="Fuel",E661="Insurance",E661="Tools",E661="Repairs"),"Expense","Non-Deductible")))</f>
        <v/>
      </c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  <c r="E662" t="inlineStr">
        <is>
          <t>Materials</t>
        </is>
      </c>
      <c r="F662">
        <f>IF(E662="Income","Revenue",IF(OR(E662="Materials",E662="Labor",E662="Dump Fees"),"COGS",IF(OR(E662="Fuel",E662="Insurance",E662="Tools",E662="Repairs"),"Expense","Non-Deductible")))</f>
        <v/>
      </c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  <c r="E663" t="inlineStr">
        <is>
          <t>Tools</t>
        </is>
      </c>
      <c r="F663">
        <f>IF(E663="Income","Revenue",IF(OR(E663="Materials",E663="Labor",E663="Dump Fees"),"COGS",IF(OR(E663="Fuel",E663="Insurance",E663="Tools",E663="Repairs"),"Expense","Non-Deductible")))</f>
        <v/>
      </c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  <c r="E664" t="inlineStr">
        <is>
          <t>Tools</t>
        </is>
      </c>
      <c r="F664">
        <f>IF(E664="Income","Revenue",IF(OR(E664="Materials",E664="Labor",E664="Dump Fees"),"COGS",IF(OR(E664="Fuel",E664="Insurance",E664="Tools",E664="Repairs"),"Expense","Non-Deductible")))</f>
        <v/>
      </c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  <c r="E665" t="inlineStr">
        <is>
          <t>Tools</t>
        </is>
      </c>
      <c r="F665">
        <f>IF(E665="Income","Revenue",IF(OR(E665="Materials",E665="Labor",E665="Dump Fees"),"COGS",IF(OR(E665="Fuel",E665="Insurance",E665="Tools",E665="Repairs"),"Expense","Non-Deductible")))</f>
        <v/>
      </c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  <c r="E666" t="inlineStr">
        <is>
          <t>Tools</t>
        </is>
      </c>
      <c r="F666">
        <f>IF(E666="Income","Revenue",IF(OR(E666="Materials",E666="Labor",E666="Dump Fees"),"COGS",IF(OR(E666="Fuel",E666="Insurance",E666="Tools",E666="Repairs"),"Expense","Non-Deductible")))</f>
        <v/>
      </c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  <c r="E667" t="inlineStr">
        <is>
          <t>Tools</t>
        </is>
      </c>
      <c r="F667">
        <f>IF(E667="Income","Revenue",IF(OR(E667="Materials",E667="Labor",E667="Dump Fees"),"COGS",IF(OR(E667="Fuel",E667="Insurance",E667="Tools",E667="Repairs"),"Expense","Non-Deductible")))</f>
        <v/>
      </c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  <c r="E668" t="inlineStr">
        <is>
          <t>Fuel</t>
        </is>
      </c>
      <c r="F668">
        <f>IF(E668="Income","Revenue",IF(OR(E668="Materials",E668="Labor",E668="Dump Fees"),"COGS",IF(OR(E668="Fuel",E668="Insurance",E668="Tools",E668="Repairs"),"Expense","Non-Deductible")))</f>
        <v/>
      </c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  <c r="E669" t="inlineStr">
        <is>
          <t>Tools</t>
        </is>
      </c>
      <c r="F669">
        <f>IF(E669="Income","Revenue",IF(OR(E669="Materials",E669="Labor",E669="Dump Fees"),"COGS",IF(OR(E669="Fuel",E669="Insurance",E669="Tools",E669="Repairs"),"Expense","Non-Deductible")))</f>
        <v/>
      </c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  <c r="E670" t="inlineStr">
        <is>
          <t>Materials</t>
        </is>
      </c>
      <c r="F670">
        <f>IF(E670="Income","Revenue",IF(OR(E670="Materials",E670="Labor",E670="Dump Fees"),"COGS",IF(OR(E670="Fuel",E670="Insurance",E670="Tools",E670="Repairs"),"Expense","Non-Deductible")))</f>
        <v/>
      </c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  <c r="E671" t="inlineStr">
        <is>
          <t>Fuel</t>
        </is>
      </c>
      <c r="F671">
        <f>IF(E671="Income","Revenue",IF(OR(E671="Materials",E671="Labor",E671="Dump Fees"),"COGS",IF(OR(E671="Fuel",E671="Insurance",E671="Tools",E671="Repairs"),"Expense","Non-Deductible")))</f>
        <v/>
      </c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  <c r="E672" t="inlineStr">
        <is>
          <t>Tools</t>
        </is>
      </c>
      <c r="F672">
        <f>IF(E672="Income","Revenue",IF(OR(E672="Materials",E672="Labor",E672="Dump Fees"),"COGS",IF(OR(E672="Fuel",E672="Insurance",E672="Tools",E672="Repairs"),"Expense","Non-Deductible")))</f>
        <v/>
      </c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  <c r="E673" t="inlineStr">
        <is>
          <t>Tools</t>
        </is>
      </c>
      <c r="F673">
        <f>IF(E673="Income","Revenue",IF(OR(E673="Materials",E673="Labor",E673="Dump Fees"),"COGS",IF(OR(E673="Fuel",E673="Insurance",E673="Tools",E673="Repairs"),"Expense","Non-Deductible")))</f>
        <v/>
      </c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  <c r="E674" t="inlineStr">
        <is>
          <t>Tools</t>
        </is>
      </c>
      <c r="F674">
        <f>IF(E674="Income","Revenue",IF(OR(E674="Materials",E674="Labor",E674="Dump Fees"),"COGS",IF(OR(E674="Fuel",E674="Insurance",E674="Tools",E674="Repairs"),"Expense","Non-Deductible")))</f>
        <v/>
      </c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  <c r="E675" t="inlineStr">
        <is>
          <t>Materials</t>
        </is>
      </c>
      <c r="F675">
        <f>IF(E675="Income","Revenue",IF(OR(E675="Materials",E675="Labor",E675="Dump Fees"),"COGS",IF(OR(E675="Fuel",E675="Insurance",E675="Tools",E675="Repairs"),"Expense","Non-Deductible")))</f>
        <v/>
      </c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  <c r="E676" t="inlineStr">
        <is>
          <t>Materials</t>
        </is>
      </c>
      <c r="F676">
        <f>IF(E676="Income","Revenue",IF(OR(E676="Materials",E676="Labor",E676="Dump Fees"),"COGS",IF(OR(E676="Fuel",E676="Insurance",E676="Tools",E676="Repairs"),"Expense","Non-Deductible")))</f>
        <v/>
      </c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  <c r="E677" t="inlineStr">
        <is>
          <t>Repairs</t>
        </is>
      </c>
      <c r="F677">
        <f>IF(E677="Income","Revenue",IF(OR(E677="Materials",E677="Labor",E677="Dump Fees"),"COGS",IF(OR(E677="Fuel",E677="Insurance",E677="Tools",E677="Repairs"),"Expense","Non-Deductible")))</f>
        <v/>
      </c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  <c r="E678" t="inlineStr">
        <is>
          <t>Fuel</t>
        </is>
      </c>
      <c r="F678">
        <f>IF(E678="Income","Revenue",IF(OR(E678="Materials",E678="Labor",E678="Dump Fees"),"COGS",IF(OR(E678="Fuel",E678="Insurance",E678="Tools",E678="Repairs"),"Expense","Non-Deductible")))</f>
        <v/>
      </c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  <c r="E679" t="inlineStr">
        <is>
          <t>Tools</t>
        </is>
      </c>
      <c r="F679">
        <f>IF(E679="Income","Revenue",IF(OR(E679="Materials",E679="Labor",E679="Dump Fees"),"COGS",IF(OR(E679="Fuel",E679="Insurance",E679="Tools",E679="Repairs"),"Expense","Non-Deductible")))</f>
        <v/>
      </c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  <c r="E680" t="inlineStr">
        <is>
          <t>Tools</t>
        </is>
      </c>
      <c r="F680">
        <f>IF(E680="Income","Revenue",IF(OR(E680="Materials",E680="Labor",E680="Dump Fees"),"COGS",IF(OR(E680="Fuel",E680="Insurance",E680="Tools",E680="Repairs"),"Expense","Non-Deductible")))</f>
        <v/>
      </c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  <c r="E681" t="inlineStr">
        <is>
          <t>Labor</t>
        </is>
      </c>
      <c r="F681">
        <f>IF(E681="Income","Revenue",IF(OR(E681="Materials",E681="Labor",E681="Dump Fees"),"COGS",IF(OR(E681="Fuel",E681="Insurance",E681="Tools",E681="Repairs"),"Expense","Non-Deductible")))</f>
        <v/>
      </c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  <c r="E682" t="inlineStr">
        <is>
          <t>Materials</t>
        </is>
      </c>
      <c r="F682">
        <f>IF(E682="Income","Revenue",IF(OR(E682="Materials",E682="Labor",E682="Dump Fees"),"COGS",IF(OR(E682="Fuel",E682="Insurance",E682="Tools",E682="Repairs"),"Expense","Non-Deductible")))</f>
        <v/>
      </c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  <c r="E683" t="inlineStr">
        <is>
          <t>Tools</t>
        </is>
      </c>
      <c r="F683">
        <f>IF(E683="Income","Revenue",IF(OR(E683="Materials",E683="Labor",E683="Dump Fees"),"COGS",IF(OR(E683="Fuel",E683="Insurance",E683="Tools",E683="Repairs"),"Expense","Non-Deductible")))</f>
        <v/>
      </c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  <c r="E684" t="inlineStr">
        <is>
          <t>Tools</t>
        </is>
      </c>
      <c r="F684">
        <f>IF(E684="Income","Revenue",IF(OR(E684="Materials",E684="Labor",E684="Dump Fees"),"COGS",IF(OR(E684="Fuel",E684="Insurance",E684="Tools",E684="Repairs"),"Expense","Non-Deductible")))</f>
        <v/>
      </c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  <c r="E685" t="inlineStr">
        <is>
          <t>Materials</t>
        </is>
      </c>
      <c r="F685">
        <f>IF(E685="Income","Revenue",IF(OR(E685="Materials",E685="Labor",E685="Dump Fees"),"COGS",IF(OR(E685="Fuel",E685="Insurance",E685="Tools",E685="Repairs"),"Expense","Non-Deductible")))</f>
        <v/>
      </c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  <c r="E686" t="inlineStr">
        <is>
          <t>Utilities</t>
        </is>
      </c>
      <c r="F686">
        <f>IF(E686="Income","Revenue",IF(OR(E686="Materials",E686="Labor",E686="Dump Fees"),"COGS",IF(OR(E686="Fuel",E686="Insurance",E686="Tools",E686="Repairs"),"Expense","Non-Deductible")))</f>
        <v/>
      </c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  <c r="E687" t="inlineStr">
        <is>
          <t>Tools</t>
        </is>
      </c>
      <c r="F687">
        <f>IF(E687="Income","Revenue",IF(OR(E687="Materials",E687="Labor",E687="Dump Fees"),"COGS",IF(OR(E687="Fuel",E687="Insurance",E687="Tools",E687="Repairs"),"Expense","Non-Deductible")))</f>
        <v/>
      </c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  <c r="E688" t="inlineStr">
        <is>
          <t>Tools</t>
        </is>
      </c>
      <c r="F688">
        <f>IF(E688="Income","Revenue",IF(OR(E688="Materials",E688="Labor",E688="Dump Fees"),"COGS",IF(OR(E688="Fuel",E688="Insurance",E688="Tools",E688="Repairs"),"Expense","Non-Deductible")))</f>
        <v/>
      </c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  <c r="E689" t="inlineStr">
        <is>
          <t>Tools</t>
        </is>
      </c>
      <c r="F689">
        <f>IF(E689="Income","Revenue",IF(OR(E689="Materials",E689="Labor",E689="Dump Fees"),"COGS",IF(OR(E689="Fuel",E689="Insurance",E689="Tools",E689="Repairs"),"Expense","Non-Deductible")))</f>
        <v/>
      </c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  <c r="E690" t="inlineStr">
        <is>
          <t>Tools</t>
        </is>
      </c>
      <c r="F690">
        <f>IF(E690="Income","Revenue",IF(OR(E690="Materials",E690="Labor",E690="Dump Fees"),"COGS",IF(OR(E690="Fuel",E690="Insurance",E690="Tools",E690="Repairs"),"Expense","Non-Deductible")))</f>
        <v/>
      </c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  <c r="E691" t="inlineStr">
        <is>
          <t>Tools</t>
        </is>
      </c>
      <c r="F691">
        <f>IF(E691="Income","Revenue",IF(OR(E691="Materials",E691="Labor",E691="Dump Fees"),"COGS",IF(OR(E691="Fuel",E691="Insurance",E691="Tools",E691="Repairs"),"Expense","Non-Deductible")))</f>
        <v/>
      </c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  <c r="E692" t="inlineStr">
        <is>
          <t>Fuel</t>
        </is>
      </c>
      <c r="F692">
        <f>IF(E692="Income","Revenue",IF(OR(E692="Materials",E692="Labor",E692="Dump Fees"),"COGS",IF(OR(E692="Fuel",E692="Insurance",E692="Tools",E692="Repairs"),"Expense","Non-Deductible")))</f>
        <v/>
      </c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  <c r="E693" t="inlineStr">
        <is>
          <t>Tools</t>
        </is>
      </c>
      <c r="F693">
        <f>IF(E693="Income","Revenue",IF(OR(E693="Materials",E693="Labor",E693="Dump Fees"),"COGS",IF(OR(E693="Fuel",E693="Insurance",E693="Tools",E693="Repairs"),"Expense","Non-Deductible")))</f>
        <v/>
      </c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  <c r="E694" t="inlineStr">
        <is>
          <t>Tools</t>
        </is>
      </c>
      <c r="F694">
        <f>IF(E694="Income","Revenue",IF(OR(E694="Materials",E694="Labor",E694="Dump Fees"),"COGS",IF(OR(E694="Fuel",E694="Insurance",E694="Tools",E694="Repairs"),"Expense","Non-Deductible")))</f>
        <v/>
      </c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  <c r="E695" t="inlineStr">
        <is>
          <t>Labor</t>
        </is>
      </c>
      <c r="F695">
        <f>IF(E695="Income","Revenue",IF(OR(E695="Materials",E695="Labor",E695="Dump Fees"),"COGS",IF(OR(E695="Fuel",E695="Insurance",E695="Tools",E695="Repairs"),"Expense","Non-Deductible")))</f>
        <v/>
      </c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  <c r="E696" t="inlineStr">
        <is>
          <t>Labor</t>
        </is>
      </c>
      <c r="F696">
        <f>IF(E696="Income","Revenue",IF(OR(E696="Materials",E696="Labor",E696="Dump Fees"),"COGS",IF(OR(E696="Fuel",E696="Insurance",E696="Tools",E696="Repairs"),"Expense","Non-Deductible")))</f>
        <v/>
      </c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  <c r="E697" t="inlineStr">
        <is>
          <t>Tools</t>
        </is>
      </c>
      <c r="F697">
        <f>IF(E697="Income","Revenue",IF(OR(E697="Materials",E697="Labor",E697="Dump Fees"),"COGS",IF(OR(E697="Fuel",E697="Insurance",E697="Tools",E697="Repairs"),"Expense","Non-Deductible")))</f>
        <v/>
      </c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  <c r="E698" t="inlineStr">
        <is>
          <t>Tools</t>
        </is>
      </c>
      <c r="F698">
        <f>IF(E698="Income","Revenue",IF(OR(E698="Materials",E698="Labor",E698="Dump Fees"),"COGS",IF(OR(E698="Fuel",E698="Insurance",E698="Tools",E698="Repairs"),"Expense","Non-Deductible")))</f>
        <v/>
      </c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  <c r="E699" t="inlineStr">
        <is>
          <t>Utilities</t>
        </is>
      </c>
      <c r="F699">
        <f>IF(E699="Income","Revenue",IF(OR(E699="Materials",E699="Labor",E699="Dump Fees"),"COGS",IF(OR(E699="Fuel",E699="Insurance",E699="Tools",E699="Repairs"),"Expense","Non-Deductible")))</f>
        <v/>
      </c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  <c r="E700" t="inlineStr">
        <is>
          <t>Tools</t>
        </is>
      </c>
      <c r="F700">
        <f>IF(E700="Income","Revenue",IF(OR(E700="Materials",E700="Labor",E700="Dump Fees"),"COGS",IF(OR(E700="Fuel",E700="Insurance",E700="Tools",E700="Repairs"),"Expense","Non-Deductible")))</f>
        <v/>
      </c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  <c r="E701" t="inlineStr">
        <is>
          <t>Tools</t>
        </is>
      </c>
      <c r="F701">
        <f>IF(E701="Income","Revenue",IF(OR(E701="Materials",E701="Labor",E701="Dump Fees"),"COGS",IF(OR(E701="Fuel",E701="Insurance",E701="Tools",E701="Repairs"),"Expense","Non-Deductible")))</f>
        <v/>
      </c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  <c r="E702" t="inlineStr">
        <is>
          <t>Tools</t>
        </is>
      </c>
      <c r="F702">
        <f>IF(E702="Income","Revenue",IF(OR(E702="Materials",E702="Labor",E702="Dump Fees"),"COGS",IF(OR(E702="Fuel",E702="Insurance",E702="Tools",E702="Repairs"),"Expense","Non-Deductible")))</f>
        <v/>
      </c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  <c r="E703" t="inlineStr">
        <is>
          <t>Tools</t>
        </is>
      </c>
      <c r="F703">
        <f>IF(E703="Income","Revenue",IF(OR(E703="Materials",E703="Labor",E703="Dump Fees"),"COGS",IF(OR(E703="Fuel",E703="Insurance",E703="Tools",E703="Repairs"),"Expense","Non-Deductible")))</f>
        <v/>
      </c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  <c r="E704" t="inlineStr">
        <is>
          <t>Utilities</t>
        </is>
      </c>
      <c r="F704">
        <f>IF(E704="Income","Revenue",IF(OR(E704="Materials",E704="Labor",E704="Dump Fees"),"COGS",IF(OR(E704="Fuel",E704="Insurance",E704="Tools",E704="Repairs"),"Expense","Non-Deductible")))</f>
        <v/>
      </c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  <c r="E705" t="inlineStr">
        <is>
          <t>Utilities</t>
        </is>
      </c>
      <c r="F705">
        <f>IF(E705="Income","Revenue",IF(OR(E705="Materials",E705="Labor",E705="Dump Fees"),"COGS",IF(OR(E705="Fuel",E705="Insurance",E705="Tools",E705="Repairs"),"Expense","Non-Deductible")))</f>
        <v/>
      </c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  <c r="E706" t="inlineStr">
        <is>
          <t>Utilities</t>
        </is>
      </c>
      <c r="F706">
        <f>IF(E706="Income","Revenue",IF(OR(E706="Materials",E706="Labor",E706="Dump Fees"),"COGS",IF(OR(E706="Fuel",E706="Insurance",E706="Tools",E706="Repairs"),"Expense","Non-Deductible")))</f>
        <v/>
      </c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  <c r="E707" t="inlineStr">
        <is>
          <t>Utilities</t>
        </is>
      </c>
      <c r="F707">
        <f>IF(E707="Income","Revenue",IF(OR(E707="Materials",E707="Labor",E707="Dump Fees"),"COGS",IF(OR(E707="Fuel",E707="Insurance",E707="Tools",E707="Repairs"),"Expense","Non-Deductible")))</f>
        <v/>
      </c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  <c r="E708" t="inlineStr">
        <is>
          <t>Tools</t>
        </is>
      </c>
      <c r="F708">
        <f>IF(E708="Income","Revenue",IF(OR(E708="Materials",E708="Labor",E708="Dump Fees"),"COGS",IF(OR(E708="Fuel",E708="Insurance",E708="Tools",E708="Repairs"),"Expense","Non-Deductible")))</f>
        <v/>
      </c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  <c r="E709" t="inlineStr">
        <is>
          <t>Tools</t>
        </is>
      </c>
      <c r="F709">
        <f>IF(E709="Income","Revenue",IF(OR(E709="Materials",E709="Labor",E709="Dump Fees"),"COGS",IF(OR(E709="Fuel",E709="Insurance",E709="Tools",E709="Repairs"),"Expense","Non-Deductible")))</f>
        <v/>
      </c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  <c r="E710" t="inlineStr">
        <is>
          <t>Tools</t>
        </is>
      </c>
      <c r="F710">
        <f>IF(E710="Income","Revenue",IF(OR(E710="Materials",E710="Labor",E710="Dump Fees"),"COGS",IF(OR(E710="Fuel",E710="Insurance",E710="Tools",E710="Repairs"),"Expense","Non-Deductible")))</f>
        <v/>
      </c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  <c r="E711" t="inlineStr">
        <is>
          <t>Utilities</t>
        </is>
      </c>
      <c r="F711">
        <f>IF(E711="Income","Revenue",IF(OR(E711="Materials",E711="Labor",E711="Dump Fees"),"COGS",IF(OR(E711="Fuel",E711="Insurance",E711="Tools",E711="Repairs"),"Expense","Non-Deductible")))</f>
        <v/>
      </c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  <c r="E712" t="inlineStr">
        <is>
          <t>Utilities</t>
        </is>
      </c>
      <c r="F712">
        <f>IF(E712="Income","Revenue",IF(OR(E712="Materials",E712="Labor",E712="Dump Fees"),"COGS",IF(OR(E712="Fuel",E712="Insurance",E712="Tools",E712="Repairs"),"Expense","Non-Deductible")))</f>
        <v/>
      </c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  <c r="E713" t="inlineStr">
        <is>
          <t>Tools</t>
        </is>
      </c>
      <c r="F713">
        <f>IF(E713="Income","Revenue",IF(OR(E713="Materials",E713="Labor",E713="Dump Fees"),"COGS",IF(OR(E713="Fuel",E713="Insurance",E713="Tools",E713="Repairs"),"Expense","Non-Deductible")))</f>
        <v/>
      </c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  <c r="E714" t="inlineStr">
        <is>
          <t>Tools</t>
        </is>
      </c>
      <c r="F714">
        <f>IF(E714="Income","Revenue",IF(OR(E714="Materials",E714="Labor",E714="Dump Fees"),"COGS",IF(OR(E714="Fuel",E714="Insurance",E714="Tools",E714="Repairs"),"Expense","Non-Deductible")))</f>
        <v/>
      </c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  <c r="E715" t="inlineStr">
        <is>
          <t>Tools</t>
        </is>
      </c>
      <c r="F715">
        <f>IF(E715="Income","Revenue",IF(OR(E715="Materials",E715="Labor",E715="Dump Fees"),"COGS",IF(OR(E715="Fuel",E715="Insurance",E715="Tools",E715="Repairs"),"Expense","Non-Deductible")))</f>
        <v/>
      </c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  <c r="E716" t="inlineStr">
        <is>
          <t>Labor</t>
        </is>
      </c>
      <c r="F716">
        <f>IF(E716="Income","Revenue",IF(OR(E716="Materials",E716="Labor",E716="Dump Fees"),"COGS",IF(OR(E716="Fuel",E716="Insurance",E716="Tools",E716="Repairs"),"Expense","Non-Deductible")))</f>
        <v/>
      </c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  <c r="E717" t="inlineStr">
        <is>
          <t>Tools</t>
        </is>
      </c>
      <c r="F717">
        <f>IF(E717="Income","Revenue",IF(OR(E717="Materials",E717="Labor",E717="Dump Fees"),"COGS",IF(OR(E717="Fuel",E717="Insurance",E717="Tools",E717="Repairs"),"Expense","Non-Deductible")))</f>
        <v/>
      </c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  <c r="E718" t="inlineStr">
        <is>
          <t>Insurance</t>
        </is>
      </c>
      <c r="F718">
        <f>IF(E718="Income","Revenue",IF(OR(E718="Materials",E718="Labor",E718="Dump Fees"),"COGS",IF(OR(E718="Fuel",E718="Insurance",E718="Tools",E718="Repairs"),"Expense","Non-Deductible")))</f>
        <v/>
      </c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  <c r="E719" t="inlineStr">
        <is>
          <t>Tools</t>
        </is>
      </c>
      <c r="F719">
        <f>IF(E719="Income","Revenue",IF(OR(E719="Materials",E719="Labor",E719="Dump Fees"),"COGS",IF(OR(E719="Fuel",E719="Insurance",E719="Tools",E719="Repairs"),"Expense","Non-Deductible")))</f>
        <v/>
      </c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  <c r="E720" t="inlineStr">
        <is>
          <t>Tools</t>
        </is>
      </c>
      <c r="F720">
        <f>IF(E720="Income","Revenue",IF(OR(E720="Materials",E720="Labor",E720="Dump Fees"),"COGS",IF(OR(E720="Fuel",E720="Insurance",E720="Tools",E720="Repairs"),"Expense","Non-Deductible")))</f>
        <v/>
      </c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  <c r="E721" t="inlineStr">
        <is>
          <t>Tools</t>
        </is>
      </c>
      <c r="F721">
        <f>IF(E721="Income","Revenue",IF(OR(E721="Materials",E721="Labor",E721="Dump Fees"),"COGS",IF(OR(E721="Fuel",E721="Insurance",E721="Tools",E721="Repairs"),"Expense","Non-Deductible")))</f>
        <v/>
      </c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  <c r="E722" t="inlineStr">
        <is>
          <t>Utilities</t>
        </is>
      </c>
      <c r="F722">
        <f>IF(E722="Income","Revenue",IF(OR(E722="Materials",E722="Labor",E722="Dump Fees"),"COGS",IF(OR(E722="Fuel",E722="Insurance",E722="Tools",E722="Repairs"),"Expense","Non-Deductible")))</f>
        <v/>
      </c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  <c r="E723" t="inlineStr">
        <is>
          <t>Utilities</t>
        </is>
      </c>
      <c r="F723">
        <f>IF(E723="Income","Revenue",IF(OR(E723="Materials",E723="Labor",E723="Dump Fees"),"COGS",IF(OR(E723="Fuel",E723="Insurance",E723="Tools",E723="Repairs"),"Expense","Non-Deductible")))</f>
        <v/>
      </c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  <c r="E724" t="inlineStr">
        <is>
          <t>Utilities</t>
        </is>
      </c>
      <c r="F724">
        <f>IF(E724="Income","Revenue",IF(OR(E724="Materials",E724="Labor",E724="Dump Fees"),"COGS",IF(OR(E724="Fuel",E724="Insurance",E724="Tools",E724="Repairs"),"Expense","Non-Deductible")))</f>
        <v/>
      </c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  <c r="E725" t="inlineStr">
        <is>
          <t>Labor</t>
        </is>
      </c>
      <c r="F725">
        <f>IF(E725="Income","Revenue",IF(OR(E725="Materials",E725="Labor",E725="Dump Fees"),"COGS",IF(OR(E725="Fuel",E725="Insurance",E725="Tools",E725="Repairs"),"Expense","Non-Deductible")))</f>
        <v/>
      </c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  <c r="E726" t="inlineStr">
        <is>
          <t>Tools</t>
        </is>
      </c>
      <c r="F726">
        <f>IF(E726="Income","Revenue",IF(OR(E726="Materials",E726="Labor",E726="Dump Fees"),"COGS",IF(OR(E726="Fuel",E726="Insurance",E726="Tools",E726="Repairs"),"Expense","Non-Deductible")))</f>
        <v/>
      </c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  <c r="E727" t="inlineStr">
        <is>
          <t>Tools</t>
        </is>
      </c>
      <c r="F727">
        <f>IF(E727="Income","Revenue",IF(OR(E727="Materials",E727="Labor",E727="Dump Fees"),"COGS",IF(OR(E727="Fuel",E727="Insurance",E727="Tools",E727="Repairs"),"Expense","Non-Deductible")))</f>
        <v/>
      </c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  <c r="E728" t="inlineStr">
        <is>
          <t>Labor</t>
        </is>
      </c>
      <c r="F728">
        <f>IF(E728="Income","Revenue",IF(OR(E728="Materials",E728="Labor",E728="Dump Fees"),"COGS",IF(OR(E728="Fuel",E728="Insurance",E728="Tools",E728="Repairs"),"Expense","Non-Deductible")))</f>
        <v/>
      </c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  <c r="E729" t="inlineStr">
        <is>
          <t>Tools</t>
        </is>
      </c>
      <c r="F729">
        <f>IF(E729="Income","Revenue",IF(OR(E729="Materials",E729="Labor",E729="Dump Fees"),"COGS",IF(OR(E729="Fuel",E729="Insurance",E729="Tools",E729="Repairs"),"Expense","Non-Deductible")))</f>
        <v/>
      </c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  <c r="E730" t="inlineStr">
        <is>
          <t>Utilities</t>
        </is>
      </c>
      <c r="F730">
        <f>IF(E730="Income","Revenue",IF(OR(E730="Materials",E730="Labor",E730="Dump Fees"),"COGS",IF(OR(E730="Fuel",E730="Insurance",E730="Tools",E730="Repairs"),"Expense","Non-Deductible")))</f>
        <v/>
      </c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  <c r="E731" t="inlineStr">
        <is>
          <t>Tools</t>
        </is>
      </c>
      <c r="F731">
        <f>IF(E731="Income","Revenue",IF(OR(E731="Materials",E731="Labor",E731="Dump Fees"),"COGS",IF(OR(E731="Fuel",E731="Insurance",E731="Tools",E731="Repairs"),"Expense","Non-Deductible")))</f>
        <v/>
      </c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  <c r="E732" t="inlineStr">
        <is>
          <t>Labor</t>
        </is>
      </c>
      <c r="F732">
        <f>IF(E732="Income","Revenue",IF(OR(E732="Materials",E732="Labor",E732="Dump Fees"),"COGS",IF(OR(E732="Fuel",E732="Insurance",E732="Tools",E732="Repairs"),"Expense","Non-Deductible")))</f>
        <v/>
      </c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  <c r="E733" t="inlineStr">
        <is>
          <t>Utilities</t>
        </is>
      </c>
      <c r="F733">
        <f>IF(E733="Income","Revenue",IF(OR(E733="Materials",E733="Labor",E733="Dump Fees"),"COGS",IF(OR(E733="Fuel",E733="Insurance",E733="Tools",E733="Repairs"),"Expense","Non-Deductible")))</f>
        <v/>
      </c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  <c r="E734" t="inlineStr">
        <is>
          <t>Materials</t>
        </is>
      </c>
      <c r="F734">
        <f>IF(E734="Income","Revenue",IF(OR(E734="Materials",E734="Labor",E734="Dump Fees"),"COGS",IF(OR(E734="Fuel",E734="Insurance",E734="Tools",E734="Repairs"),"Expense","Non-Deductible")))</f>
        <v/>
      </c>
    </row>
  </sheetData>
  <dataValidations count="2">
    <dataValidation sqref="E2:E734" showDropDown="0" showInputMessage="0" showErrorMessage="0" allowBlank="1" type="list">
      <formula1>"Income,Materials,Labor,Dump Fees,Fuel,Insurance,Tools,Repairs,Utilities,Owner Draw,Transfer"</formula1>
    </dataValidation>
    <dataValidation sqref="G2:G734" showDropDown="0" showInputMessage="0" showErrorMessage="0" allowBlank="1" type="list">
      <formula1>",Bryan,Jameson,Casey,Tony"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6" t="inlineStr">
        <is>
          <t>ALL PRO METRO EAST CONSTRUCTION LLC - Profit &amp; Loss 2023</t>
        </is>
      </c>
    </row>
    <row r="2"/>
    <row r="3">
      <c r="A3" s="1" t="inlineStr">
        <is>
          <t>Revenue</t>
        </is>
      </c>
      <c r="B3" s="2">
        <f>SUMIFS(CATEGORIZED_2023!$C:$C,CATEGORIZED_2023!$F:$F,"Revenue")</f>
        <v/>
      </c>
    </row>
    <row r="4">
      <c r="A4" s="1" t="inlineStr">
        <is>
          <t>COGS</t>
        </is>
      </c>
      <c r="B4" s="2">
        <f>SUMIFS(CATEGORIZED_2023!$C:$C,CATEGORIZED_2023!$F:$F,"COGS")</f>
        <v/>
      </c>
    </row>
    <row r="5">
      <c r="A5" s="1" t="inlineStr">
        <is>
          <t>Expenses</t>
        </is>
      </c>
      <c r="B5" s="2">
        <f>SUMIFS(CATEGORIZED_2023!$C:$C,CATEGORIZED_2023!$F:$F,"Expense")</f>
        <v/>
      </c>
    </row>
    <row r="6">
      <c r="A6" s="1" t="inlineStr">
        <is>
          <t>Non-Deductible</t>
        </is>
      </c>
      <c r="B6" s="2">
        <f>SUMIFS(CATEGORIZED_2023!$C:$C,CATEGORIZED_2023!$F:$F,"Non-Deductible")</f>
        <v/>
      </c>
    </row>
    <row r="7">
      <c r="A7" s="1" t="inlineStr">
        <is>
          <t>Net Income</t>
        </is>
      </c>
      <c r="B7" s="2">
        <f>B3-B4-B5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SUMPRODUCT((CATEGORIZED_2023!$F$2:$F$200000="Revenue")*(TEXT(CATEGORIZED_2023!$A$2:$A$200000,"yyyy-mm")="2023-01")*CATEGORIZED_2023!$C$2:$C$200000)</f>
        <v/>
      </c>
      <c r="C2" s="2">
        <f>SUMPRODUCT((CATEGORIZED_2023!$F$2:$F$200000="COGS")*(TEXT(CATEGORIZED_2023!$A$2:$A$200000,"yyyy-mm")="2023-01")*CATEGORIZED_2023!$C$2:$C$200000)</f>
        <v/>
      </c>
      <c r="D2" s="2">
        <f>SUMPRODUCT((CATEGORIZED_2023!$F$2:$F$200000="Expense")*(TEXT(CATEGORIZED_2023!$A$2:$A$200000,"yyyy-mm")="2023-01")*CATEGORIZED_2023!$C$2:$C$200000)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SUMPRODUCT((CATEGORIZED_2023!$F$2:$F$200000="Revenue")*(TEXT(CATEGORIZED_2023!$A$2:$A$200000,"yyyy-mm")="2023-02")*CATEGORIZED_2023!$C$2:$C$200000)</f>
        <v/>
      </c>
      <c r="C3" s="2">
        <f>SUMPRODUCT((CATEGORIZED_2023!$F$2:$F$200000="COGS")*(TEXT(CATEGORIZED_2023!$A$2:$A$200000,"yyyy-mm")="2023-02")*CATEGORIZED_2023!$C$2:$C$200000)</f>
        <v/>
      </c>
      <c r="D3" s="2">
        <f>SUMPRODUCT((CATEGORIZED_2023!$F$2:$F$200000="Expense")*(TEXT(CATEGORIZED_2023!$A$2:$A$200000,"yyyy-mm")="2023-02")*CATEGORIZED_2023!$C$2:$C$200000)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SUMPRODUCT((CATEGORIZED_2023!$F$2:$F$200000="Revenue")*(TEXT(CATEGORIZED_2023!$A$2:$A$200000,"yyyy-mm")="2023-03")*CATEGORIZED_2023!$C$2:$C$200000)</f>
        <v/>
      </c>
      <c r="C4" s="2">
        <f>SUMPRODUCT((CATEGORIZED_2023!$F$2:$F$200000="COGS")*(TEXT(CATEGORIZED_2023!$A$2:$A$200000,"yyyy-mm")="2023-03")*CATEGORIZED_2023!$C$2:$C$200000)</f>
        <v/>
      </c>
      <c r="D4" s="2">
        <f>SUMPRODUCT((CATEGORIZED_2023!$F$2:$F$200000="Expense")*(TEXT(CATEGORIZED_2023!$A$2:$A$200000,"yyyy-mm")="2023-03")*CATEGORIZED_2023!$C$2:$C$200000)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SUMPRODUCT((CATEGORIZED_2023!$F$2:$F$200000="Revenue")*(TEXT(CATEGORIZED_2023!$A$2:$A$200000,"yyyy-mm")="2023-04")*CATEGORIZED_2023!$C$2:$C$200000)</f>
        <v/>
      </c>
      <c r="C5" s="2">
        <f>SUMPRODUCT((CATEGORIZED_2023!$F$2:$F$200000="COGS")*(TEXT(CATEGORIZED_2023!$A$2:$A$200000,"yyyy-mm")="2023-04")*CATEGORIZED_2023!$C$2:$C$200000)</f>
        <v/>
      </c>
      <c r="D5" s="2">
        <f>SUMPRODUCT((CATEGORIZED_2023!$F$2:$F$200000="Expense")*(TEXT(CATEGORIZED_2023!$A$2:$A$200000,"yyyy-mm")="2023-04")*CATEGORIZED_2023!$C$2:$C$200000)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SUMPRODUCT((CATEGORIZED_2023!$F$2:$F$200000="Revenue")*(TEXT(CATEGORIZED_2023!$A$2:$A$200000,"yyyy-mm")="2023-05")*CATEGORIZED_2023!$C$2:$C$200000)</f>
        <v/>
      </c>
      <c r="C6" s="2">
        <f>SUMPRODUCT((CATEGORIZED_2023!$F$2:$F$200000="COGS")*(TEXT(CATEGORIZED_2023!$A$2:$A$200000,"yyyy-mm")="2023-05")*CATEGORIZED_2023!$C$2:$C$200000)</f>
        <v/>
      </c>
      <c r="D6" s="2">
        <f>SUMPRODUCT((CATEGORIZED_2023!$F$2:$F$200000="Expense")*(TEXT(CATEGORIZED_2023!$A$2:$A$200000,"yyyy-mm")="2023-05")*CATEGORIZED_2023!$C$2:$C$200000)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SUMPRODUCT((CATEGORIZED_2023!$F$2:$F$200000="Revenue")*(TEXT(CATEGORIZED_2023!$A$2:$A$200000,"yyyy-mm")="2023-06")*CATEGORIZED_2023!$C$2:$C$200000)</f>
        <v/>
      </c>
      <c r="C7" s="2">
        <f>SUMPRODUCT((CATEGORIZED_2023!$F$2:$F$200000="COGS")*(TEXT(CATEGORIZED_2023!$A$2:$A$200000,"yyyy-mm")="2023-06")*CATEGORIZED_2023!$C$2:$C$200000)</f>
        <v/>
      </c>
      <c r="D7" s="2">
        <f>SUMPRODUCT((CATEGORIZED_2023!$F$2:$F$200000="Expense")*(TEXT(CATEGORIZED_2023!$A$2:$A$200000,"yyyy-mm")="2023-06")*CATEGORIZED_2023!$C$2:$C$200000)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SUMPRODUCT((CATEGORIZED_2023!$F$2:$F$200000="Revenue")*(TEXT(CATEGORIZED_2023!$A$2:$A$200000,"yyyy-mm")="2023-07")*CATEGORIZED_2023!$C$2:$C$200000)</f>
        <v/>
      </c>
      <c r="C8" s="2">
        <f>SUMPRODUCT((CATEGORIZED_2023!$F$2:$F$200000="COGS")*(TEXT(CATEGORIZED_2023!$A$2:$A$200000,"yyyy-mm")="2023-07")*CATEGORIZED_2023!$C$2:$C$200000)</f>
        <v/>
      </c>
      <c r="D8" s="2">
        <f>SUMPRODUCT((CATEGORIZED_2023!$F$2:$F$200000="Expense")*(TEXT(CATEGORIZED_2023!$A$2:$A$200000,"yyyy-mm")="2023-07")*CATEGORIZED_2023!$C$2:$C$200000)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SUMPRODUCT((CATEGORIZED_2023!$F$2:$F$200000="Revenue")*(TEXT(CATEGORIZED_2023!$A$2:$A$200000,"yyyy-mm")="2023-08")*CATEGORIZED_2023!$C$2:$C$200000)</f>
        <v/>
      </c>
      <c r="C9" s="2">
        <f>SUMPRODUCT((CATEGORIZED_2023!$F$2:$F$200000="COGS")*(TEXT(CATEGORIZED_2023!$A$2:$A$200000,"yyyy-mm")="2023-08")*CATEGORIZED_2023!$C$2:$C$200000)</f>
        <v/>
      </c>
      <c r="D9" s="2">
        <f>SUMPRODUCT((CATEGORIZED_2023!$F$2:$F$200000="Expense")*(TEXT(CATEGORIZED_2023!$A$2:$A$200000,"yyyy-mm")="2023-08")*CATEGORIZED_2023!$C$2:$C$200000)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SUMPRODUCT((CATEGORIZED_2023!$F$2:$F$200000="Revenue")*(TEXT(CATEGORIZED_2023!$A$2:$A$200000,"yyyy-mm")="2023-09")*CATEGORIZED_2023!$C$2:$C$200000)</f>
        <v/>
      </c>
      <c r="C10" s="2">
        <f>SUMPRODUCT((CATEGORIZED_2023!$F$2:$F$200000="COGS")*(TEXT(CATEGORIZED_2023!$A$2:$A$200000,"yyyy-mm")="2023-09")*CATEGORIZED_2023!$C$2:$C$200000)</f>
        <v/>
      </c>
      <c r="D10" s="2">
        <f>SUMPRODUCT((CATEGORIZED_2023!$F$2:$F$200000="Expense")*(TEXT(CATEGORIZED_2023!$A$2:$A$200000,"yyyy-mm")="2023-09")*CATEGORIZED_2023!$C$2:$C$200000)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SUMPRODUCT((CATEGORIZED_2023!$F$2:$F$200000="Revenue")*(TEXT(CATEGORIZED_2023!$A$2:$A$200000,"yyyy-mm")="2023-10")*CATEGORIZED_2023!$C$2:$C$200000)</f>
        <v/>
      </c>
      <c r="C11" s="2">
        <f>SUMPRODUCT((CATEGORIZED_2023!$F$2:$F$200000="COGS")*(TEXT(CATEGORIZED_2023!$A$2:$A$200000,"yyyy-mm")="2023-10")*CATEGORIZED_2023!$C$2:$C$200000)</f>
        <v/>
      </c>
      <c r="D11" s="2">
        <f>SUMPRODUCT((CATEGORIZED_2023!$F$2:$F$200000="Expense")*(TEXT(CATEGORIZED_2023!$A$2:$A$200000,"yyyy-mm")="2023-10")*CATEGORIZED_2023!$C$2:$C$200000)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SUMPRODUCT((CATEGORIZED_2023!$F$2:$F$200000="Revenue")*(TEXT(CATEGORIZED_2023!$A$2:$A$200000,"yyyy-mm")="2023-11")*CATEGORIZED_2023!$C$2:$C$200000)</f>
        <v/>
      </c>
      <c r="C12" s="2">
        <f>SUMPRODUCT((CATEGORIZED_2023!$F$2:$F$200000="COGS")*(TEXT(CATEGORIZED_2023!$A$2:$A$200000,"yyyy-mm")="2023-11")*CATEGORIZED_2023!$C$2:$C$200000)</f>
        <v/>
      </c>
      <c r="D12" s="2">
        <f>SUMPRODUCT((CATEGORIZED_2023!$F$2:$F$200000="Expense")*(TEXT(CATEGORIZED_2023!$A$2:$A$200000,"yyyy-mm")="2023-11")*CATEGORIZED_2023!$C$2:$C$200000)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SUMPRODUCT((CATEGORIZED_2023!$F$2:$F$200000="Revenue")*(TEXT(CATEGORIZED_2023!$A$2:$A$200000,"yyyy-mm")="2023-12")*CATEGORIZED_2023!$C$2:$C$200000)</f>
        <v/>
      </c>
      <c r="C13" s="2">
        <f>SUMPRODUCT((CATEGORIZED_2023!$F$2:$F$200000="COGS")*(TEXT(CATEGORIZED_2023!$A$2:$A$200000,"yyyy-mm")="2023-12")*CATEGORIZED_2023!$C$2:$C$200000)</f>
        <v/>
      </c>
      <c r="D13" s="2">
        <f>SUMPRODUCT((CATEGORIZED_2023!$F$2:$F$200000="Expense")*(TEXT(CATEGORIZED_2023!$A$2:$A$200000,"yyyy-mm")="2023-12")*CATEGORIZED_2023!$C$2:$C$200000)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Contractor</t>
        </is>
      </c>
      <c r="B1" s="4" t="inlineStr">
        <is>
          <t>Total</t>
        </is>
      </c>
    </row>
    <row r="2">
      <c r="A2" t="inlineStr">
        <is>
          <t>Bryan</t>
        </is>
      </c>
      <c r="B2" s="2">
        <f>SUMIFS(CATEGORIZED_2023!$C:$C,CATEGORIZED_2023!$E:$E,"Labor",CATEGORIZED_2023!$G:$G,A2)</f>
        <v/>
      </c>
    </row>
    <row r="3">
      <c r="A3" t="inlineStr">
        <is>
          <t>Jameson</t>
        </is>
      </c>
      <c r="B3" s="2">
        <f>SUMIFS(CATEGORIZED_2023!$C:$C,CATEGORIZED_2023!$E:$E,"Labor",CATEGORIZED_2023!$G:$G,A3)</f>
        <v/>
      </c>
    </row>
    <row r="4">
      <c r="A4" t="inlineStr">
        <is>
          <t>Casey</t>
        </is>
      </c>
      <c r="B4" s="2">
        <f>SUMIFS(CATEGORIZED_2023!$C:$C,CATEGORIZED_2023!$E:$E,"Labor",CATEGORIZED_2023!$G:$G,A4)</f>
        <v/>
      </c>
    </row>
    <row r="5">
      <c r="A5" t="inlineStr">
        <is>
          <t>Tony</t>
        </is>
      </c>
      <c r="B5" s="2">
        <f>SUMIFS(CATEGORIZED_2023!$C:$C,CATEGORIZED_2023!$E:$E,"Labor",CATEGORIZED_2023!$G:$G,A5)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2026-03-31T16:42:01Z</dcterms:created>
  <dcterms:modified xmlns:dcterms="http://purl.org/dc/terms/" xmlns:xsi="http://www.w3.org/2001/XMLSchema-instance" xsi:type="dcterms:W3CDTF">2026-03-31T16:42:04Z</dcterms:modified>
</cp:coreProperties>
</file>