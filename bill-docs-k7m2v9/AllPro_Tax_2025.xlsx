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ECON_2025" sheetId="2" state="visible" r:id="rId2"/>
    <sheet xmlns:r="http://schemas.openxmlformats.org/officeDocument/2006/relationships" name="RAW_2025" sheetId="3" state="visible" r:id="rId3"/>
    <sheet xmlns:r="http://schemas.openxmlformats.org/officeDocument/2006/relationships" name="CATEGORIZED_2025" sheetId="4" state="visible" r:id="rId4"/>
    <sheet xmlns:r="http://schemas.openxmlformats.org/officeDocument/2006/relationships" name="P&amp;L_2025" sheetId="5" state="visible" r:id="rId5"/>
    <sheet xmlns:r="http://schemas.openxmlformats.org/officeDocument/2006/relationships" name="MONTHLY_2025" sheetId="6" state="visible" r:id="rId6"/>
    <sheet xmlns:r="http://schemas.openxmlformats.org/officeDocument/2006/relationships" name="LABOR_2025" sheetId="7" state="visible" r:id="rId7"/>
    <sheet xmlns:r="http://schemas.openxmlformats.org/officeDocument/2006/relationships" name="OVERRIDE_LOG_2025" sheetId="8" state="visible" r:id="rId8"/>
    <sheet xmlns:r="http://schemas.openxmlformats.org/officeDocument/2006/relationships" name="TIEOUT_2025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  <font>
      <i val="1"/>
      <color rgb="007A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20676.13</v>
      </c>
    </row>
    <row r="3">
      <c r="A3" s="1" t="inlineStr">
        <is>
          <t>Payroll</t>
        </is>
      </c>
    </row>
    <row r="4">
      <c r="A4" t="inlineStr">
        <is>
          <t>Payroll Total</t>
        </is>
      </c>
      <c r="B4" s="2" t="n">
        <v>49194.49</v>
      </c>
    </row>
    <row r="6">
      <c r="A6" s="1" t="inlineStr">
        <is>
          <t>Month</t>
        </is>
      </c>
      <c r="B6" s="1" t="inlineStr">
        <is>
          <t>Deposits</t>
        </is>
      </c>
      <c r="C6" s="1" t="inlineStr">
        <is>
          <t>Expenses</t>
        </is>
      </c>
      <c r="D6" s="1" t="inlineStr">
        <is>
          <t>Bill Pay</t>
        </is>
      </c>
      <c r="G6" s="1" t="inlineStr">
        <is>
          <t>Difference</t>
        </is>
      </c>
      <c r="H6" s="1" t="inlineStr">
        <is>
          <t>Car Write off</t>
        </is>
      </c>
      <c r="I6" s="1" t="inlineStr">
        <is>
          <t>Difference</t>
        </is>
      </c>
      <c r="J6" s="1" t="inlineStr">
        <is>
          <t>Payroll</t>
        </is>
      </c>
      <c r="K6" s="1" t="inlineStr">
        <is>
          <t>Total Loss</t>
        </is>
      </c>
    </row>
    <row r="7">
      <c r="A7" t="inlineStr">
        <is>
          <t>January</t>
        </is>
      </c>
      <c r="B7" s="2" t="n">
        <v>7113.78</v>
      </c>
      <c r="C7" s="2" t="n">
        <v>11377.59</v>
      </c>
      <c r="D7" s="2" t="n">
        <v>8590</v>
      </c>
    </row>
    <row r="8">
      <c r="A8" t="inlineStr">
        <is>
          <t>February</t>
        </is>
      </c>
      <c r="B8" s="2" t="n">
        <v>0</v>
      </c>
      <c r="C8" s="2" t="n">
        <v>25311.08</v>
      </c>
      <c r="D8" s="2" t="n">
        <v>7205.5</v>
      </c>
    </row>
    <row r="9">
      <c r="A9" t="inlineStr">
        <is>
          <t>March</t>
        </is>
      </c>
      <c r="B9" s="2" t="n">
        <v>3575</v>
      </c>
      <c r="C9" s="2" t="n">
        <v>22238.06</v>
      </c>
      <c r="D9" s="2" t="n">
        <v>4008</v>
      </c>
    </row>
    <row r="10">
      <c r="A10" t="inlineStr">
        <is>
          <t>April</t>
        </is>
      </c>
      <c r="B10" s="2" t="n">
        <v>15160</v>
      </c>
      <c r="C10" s="2" t="n">
        <v>19902.05</v>
      </c>
      <c r="D10" s="2" t="n">
        <v>5128.23</v>
      </c>
    </row>
    <row r="11">
      <c r="A11" t="inlineStr">
        <is>
          <t>May</t>
        </is>
      </c>
      <c r="B11" s="2" t="n">
        <v>99479.82000000001</v>
      </c>
      <c r="C11" s="2" t="n">
        <v>7739.21</v>
      </c>
      <c r="D11" s="2" t="n">
        <v>2350</v>
      </c>
    </row>
    <row r="12">
      <c r="A12" t="inlineStr">
        <is>
          <t>June</t>
        </is>
      </c>
      <c r="B12" s="2" t="n">
        <v>8705</v>
      </c>
      <c r="C12" s="2" t="n">
        <v>9820.15</v>
      </c>
      <c r="D12" s="2" t="n">
        <v>2155.35</v>
      </c>
    </row>
    <row r="13">
      <c r="A13" t="inlineStr">
        <is>
          <t>July</t>
        </is>
      </c>
      <c r="B13" s="2" t="n">
        <v>29245.94</v>
      </c>
      <c r="C13" s="2" t="n">
        <v>13960.55</v>
      </c>
      <c r="D13" s="2" t="n">
        <v>6482.06</v>
      </c>
    </row>
    <row r="14">
      <c r="A14" t="inlineStr">
        <is>
          <t>August</t>
        </is>
      </c>
      <c r="B14" s="2" t="n">
        <v>40112.38</v>
      </c>
      <c r="C14" s="2" t="n">
        <v>5191.33</v>
      </c>
      <c r="D14" s="2" t="n">
        <v>2658.02</v>
      </c>
    </row>
    <row r="15">
      <c r="A15" t="inlineStr">
        <is>
          <t>September</t>
        </is>
      </c>
      <c r="B15" s="2" t="n">
        <v>38566.18</v>
      </c>
      <c r="C15" s="2" t="n">
        <v>5088.45</v>
      </c>
      <c r="D15" s="2" t="n">
        <v>1400</v>
      </c>
    </row>
    <row r="16">
      <c r="A16" t="inlineStr">
        <is>
          <t>October</t>
        </is>
      </c>
      <c r="B16" s="2" t="n">
        <v>33110.82</v>
      </c>
      <c r="C16" s="2" t="n">
        <v>16792.53</v>
      </c>
      <c r="D16" s="2" t="n">
        <v>7614</v>
      </c>
    </row>
    <row r="17">
      <c r="A17" t="inlineStr">
        <is>
          <t>November</t>
        </is>
      </c>
      <c r="B17" s="2" t="n">
        <v>46059.53</v>
      </c>
      <c r="C17" s="2" t="n">
        <v>2446.6</v>
      </c>
      <c r="D17" s="2" t="n">
        <v>210</v>
      </c>
    </row>
    <row r="18">
      <c r="A18" t="inlineStr">
        <is>
          <t>December</t>
        </is>
      </c>
      <c r="B18" s="2" t="n">
        <v>68733.48</v>
      </c>
      <c r="C18" s="2" t="n">
        <v>1477.77</v>
      </c>
      <c r="D18" s="2" t="n">
        <v>1393.33</v>
      </c>
    </row>
    <row r="19">
      <c r="A19" s="1" t="inlineStr">
        <is>
          <t>Total</t>
        </is>
      </c>
      <c r="B19" s="3">
        <f>SUM(B7:B18)</f>
        <v/>
      </c>
      <c r="C19" s="3">
        <f>SUM(C7:C18)</f>
        <v/>
      </c>
      <c r="D19" s="3">
        <f>SUM(D7:D18)</f>
        <v/>
      </c>
      <c r="G19" s="3">
        <f>B19-C19-D19</f>
        <v/>
      </c>
      <c r="H19" s="3" t="n">
        <v>20676.13</v>
      </c>
      <c r="I19" s="3">
        <f>G19-H19</f>
        <v/>
      </c>
      <c r="J19" s="3">
        <f>B4</f>
        <v/>
      </c>
      <c r="K19" s="3">
        <f>I19-J19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Year</t>
        </is>
      </c>
      <c r="B2" t="n">
        <v>2025</v>
      </c>
    </row>
    <row r="3">
      <c r="A3" t="inlineStr">
        <is>
          <t>Counted Transactions</t>
        </is>
      </c>
      <c r="B3" t="n">
        <v>575</v>
      </c>
    </row>
    <row r="4">
      <c r="A4" t="inlineStr">
        <is>
          <t>Total Credits Counted</t>
        </is>
      </c>
      <c r="B4" s="2" t="n">
        <v>389861.93</v>
      </c>
    </row>
    <row r="5">
      <c r="A5" t="inlineStr">
        <is>
          <t>Total Debits Counted</t>
        </is>
      </c>
      <c r="B5" s="2" t="n">
        <v>219602.66</v>
      </c>
    </row>
    <row r="6">
      <c r="A6" t="inlineStr">
        <is>
          <t>Sum of All Amounts Counted</t>
        </is>
      </c>
      <c r="B6" s="2" t="n">
        <v>609464.59</v>
      </c>
    </row>
    <row r="7">
      <c r="A7" t="inlineStr">
        <is>
          <t>Revenue Group Total</t>
        </is>
      </c>
      <c r="B7" s="2" t="n">
        <v>369331.93</v>
      </c>
    </row>
    <row r="8">
      <c r="A8" t="inlineStr">
        <is>
          <t>COGS Group Total</t>
        </is>
      </c>
      <c r="B8" s="2" t="n">
        <v>49832.74</v>
      </c>
    </row>
    <row r="9">
      <c r="A9" t="inlineStr">
        <is>
          <t>Expense Group Total</t>
        </is>
      </c>
      <c r="B9" s="2" t="n">
        <v>140707.12</v>
      </c>
    </row>
    <row r="10">
      <c r="A10" t="inlineStr">
        <is>
          <t>Non-Deductible Group Total</t>
        </is>
      </c>
      <c r="B10" s="2" t="n">
        <v>49592.8</v>
      </c>
    </row>
    <row r="11">
      <c r="A11" t="inlineStr">
        <is>
          <t>Net Income (Revenue-COGS-Expense)</t>
        </is>
      </c>
      <c r="B11" s="2" t="n">
        <v>178792.07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6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L1" s="6" t="inlineStr">
        <is>
          <t>WARNING: Changing Final Group may impact tax reporting. Confirm with tax professional.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Tools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  <c r="I2" t="inlineStr"/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Tools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  <c r="I3" t="inlineStr"/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Labor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COGS</t>
        </is>
      </c>
      <c r="H4">
        <f>IF(G4&lt;&gt;F4,"YES","NO")</f>
        <v/>
      </c>
      <c r="I4" t="inlineStr"/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Labor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COGS</t>
        </is>
      </c>
      <c r="H5">
        <f>IF(G5&lt;&gt;F5,"YES","NO")</f>
        <v/>
      </c>
      <c r="I5" t="inlineStr"/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  <c r="I6" t="inlineStr"/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Transfer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Non-Deductible</t>
        </is>
      </c>
      <c r="H7">
        <f>IF(G7&lt;&gt;F7,"YES","NO")</f>
        <v/>
      </c>
      <c r="I7" t="inlineStr"/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Tools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Expense</t>
        </is>
      </c>
      <c r="H8">
        <f>IF(G8&lt;&gt;F8,"YES","NO")</f>
        <v/>
      </c>
      <c r="I8" t="inlineStr"/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Revenue</t>
        </is>
      </c>
      <c r="H9">
        <f>IF(G9&lt;&gt;F9,"YES","NO")</f>
        <v/>
      </c>
      <c r="I9" t="inlineStr"/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Tools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Expense</t>
        </is>
      </c>
      <c r="H10">
        <f>IF(G10&lt;&gt;F10,"YES","NO")</f>
        <v/>
      </c>
      <c r="I10" t="inlineStr"/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  <c r="I11" t="inlineStr"/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Labor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COGS</t>
        </is>
      </c>
      <c r="H12">
        <f>IF(G12&lt;&gt;F12,"YES","NO")</f>
        <v/>
      </c>
      <c r="I12" t="inlineStr"/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  <c r="I13" t="inlineStr"/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Transfer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Non-Deductible</t>
        </is>
      </c>
      <c r="H14">
        <f>IF(G14&lt;&gt;F14,"YES","NO")</f>
        <v/>
      </c>
      <c r="I14" t="inlineStr"/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Labor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COGS</t>
        </is>
      </c>
      <c r="H15">
        <f>IF(G15&lt;&gt;F15,"YES","NO")</f>
        <v/>
      </c>
      <c r="I15" t="inlineStr"/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  <c r="I16" t="inlineStr"/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  <c r="I17" t="inlineStr"/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  <c r="I18" t="inlineStr"/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  <c r="I19" t="inlineStr"/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Tools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Expense</t>
        </is>
      </c>
      <c r="H20">
        <f>IF(G20&lt;&gt;F20,"YES","NO")</f>
        <v/>
      </c>
      <c r="I20" t="inlineStr"/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Materials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  <c r="I21" t="inlineStr"/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Tools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Expense</t>
        </is>
      </c>
      <c r="H22">
        <f>IF(G22&lt;&gt;F22,"YES","NO")</f>
        <v/>
      </c>
      <c r="I22" t="inlineStr"/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Tools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  <c r="I23" t="inlineStr"/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  <c r="I24" t="inlineStr"/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Tools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Expense</t>
        </is>
      </c>
      <c r="H25">
        <f>IF(G25&lt;&gt;F25,"YES","NO")</f>
        <v/>
      </c>
      <c r="I25" t="inlineStr"/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  <c r="I26" t="inlineStr"/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Revenue</t>
        </is>
      </c>
      <c r="H27">
        <f>IF(G27&lt;&gt;F27,"YES","NO")</f>
        <v/>
      </c>
      <c r="I27" t="inlineStr"/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Repairs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  <c r="I28" t="inlineStr"/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  <c r="I29" t="inlineStr"/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  <c r="I30" t="inlineStr"/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Tools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Expense</t>
        </is>
      </c>
      <c r="H31">
        <f>IF(G31&lt;&gt;F31,"YES","NO")</f>
        <v/>
      </c>
      <c r="I31" t="inlineStr"/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  <c r="I32" t="inlineStr"/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Tools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Expense</t>
        </is>
      </c>
      <c r="H33">
        <f>IF(G33&lt;&gt;F33,"YES","NO")</f>
        <v/>
      </c>
      <c r="I33" t="inlineStr"/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Non-Deductible</t>
        </is>
      </c>
      <c r="H34">
        <f>IF(G34&lt;&gt;F34,"YES","NO")</f>
        <v/>
      </c>
      <c r="I34" t="inlineStr"/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Fuel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  <c r="I35" t="inlineStr"/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Transfer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Non-Deductible</t>
        </is>
      </c>
      <c r="H36">
        <f>IF(G36&lt;&gt;F36,"YES","NO")</f>
        <v/>
      </c>
      <c r="I36" t="inlineStr"/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  <c r="I37" t="inlineStr"/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  <c r="I38" t="inlineStr"/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Tools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Expense</t>
        </is>
      </c>
      <c r="H39">
        <f>IF(G39&lt;&gt;F39,"YES","NO")</f>
        <v/>
      </c>
      <c r="I39" t="inlineStr"/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Labor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COGS</t>
        </is>
      </c>
      <c r="H40">
        <f>IF(G40&lt;&gt;F40,"YES","NO")</f>
        <v/>
      </c>
      <c r="I40" t="inlineStr"/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  <c r="I41" t="inlineStr"/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  <c r="I42" t="inlineStr"/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  <c r="I43" t="inlineStr"/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  <c r="I44" t="inlineStr"/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Transfer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Non-Deductible</t>
        </is>
      </c>
      <c r="H45">
        <f>IF(G45&lt;&gt;F45,"YES","NO")</f>
        <v/>
      </c>
      <c r="I45" t="inlineStr"/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Transfer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Non-Deductible</t>
        </is>
      </c>
      <c r="H46">
        <f>IF(G46&lt;&gt;F46,"YES","NO")</f>
        <v/>
      </c>
      <c r="I46" t="inlineStr"/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  <c r="I47" t="inlineStr"/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Labor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COGS</t>
        </is>
      </c>
      <c r="H48">
        <f>IF(G48&lt;&gt;F48,"YES","NO")</f>
        <v/>
      </c>
      <c r="I48" t="inlineStr"/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  <c r="I49" t="inlineStr"/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Tools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Expense</t>
        </is>
      </c>
      <c r="H50">
        <f>IF(G50&lt;&gt;F50,"YES","NO")</f>
        <v/>
      </c>
      <c r="I50" t="inlineStr"/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  <c r="I51" t="inlineStr"/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Tools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Expense</t>
        </is>
      </c>
      <c r="H52">
        <f>IF(G52&lt;&gt;F52,"YES","NO")</f>
        <v/>
      </c>
      <c r="I52" t="inlineStr"/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  <c r="I53" t="inlineStr"/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Transfer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  <c r="I54" t="inlineStr"/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Labor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COGS</t>
        </is>
      </c>
      <c r="H55">
        <f>IF(G55&lt;&gt;F55,"YES","NO")</f>
        <v/>
      </c>
      <c r="I55" t="inlineStr"/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Labor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COGS</t>
        </is>
      </c>
      <c r="H56">
        <f>IF(G56&lt;&gt;F56,"YES","NO")</f>
        <v/>
      </c>
      <c r="I56" t="inlineStr"/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  <c r="I57" t="inlineStr"/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  <c r="I58" t="inlineStr"/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Tools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Expense</t>
        </is>
      </c>
      <c r="H59">
        <f>IF(G59&lt;&gt;F59,"YES","NO")</f>
        <v/>
      </c>
      <c r="I59" t="inlineStr"/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Tools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Expense</t>
        </is>
      </c>
      <c r="H60">
        <f>IF(G60&lt;&gt;F60,"YES","NO")</f>
        <v/>
      </c>
      <c r="I60" t="inlineStr"/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Tools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Expense</t>
        </is>
      </c>
      <c r="H61">
        <f>IF(G61&lt;&gt;F61,"YES","NO")</f>
        <v/>
      </c>
      <c r="I61" t="inlineStr"/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Tools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Expense</t>
        </is>
      </c>
      <c r="H62">
        <f>IF(G62&lt;&gt;F62,"YES","NO")</f>
        <v/>
      </c>
      <c r="I62" t="inlineStr"/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Tools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Expense</t>
        </is>
      </c>
      <c r="H63">
        <f>IF(G63&lt;&gt;F63,"YES","NO")</f>
        <v/>
      </c>
      <c r="I63" t="inlineStr"/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  <c r="I64" t="inlineStr"/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  <c r="I65" t="inlineStr"/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Fuel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  <c r="I66" t="inlineStr"/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Transfer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Non-Deductible</t>
        </is>
      </c>
      <c r="H67">
        <f>IF(G67&lt;&gt;F67,"YES","NO")</f>
        <v/>
      </c>
      <c r="I67" t="inlineStr"/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Tools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Expense</t>
        </is>
      </c>
      <c r="H68">
        <f>IF(G68&lt;&gt;F68,"YES","NO")</f>
        <v/>
      </c>
      <c r="I68" t="inlineStr"/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Tools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  <c r="I69" t="inlineStr"/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Tools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  <c r="I70" t="inlineStr"/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Labor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  <c r="I71" t="inlineStr"/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Tools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Expense</t>
        </is>
      </c>
      <c r="H72">
        <f>IF(G72&lt;&gt;F72,"YES","NO")</f>
        <v/>
      </c>
      <c r="I72" t="inlineStr"/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Labor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COGS</t>
        </is>
      </c>
      <c r="H73">
        <f>IF(G73&lt;&gt;F73,"YES","NO")</f>
        <v/>
      </c>
      <c r="I73" t="inlineStr"/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Labor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COGS</t>
        </is>
      </c>
      <c r="H74">
        <f>IF(G74&lt;&gt;F74,"YES","NO")</f>
        <v/>
      </c>
      <c r="I74" t="inlineStr"/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  <c r="I75" t="inlineStr"/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Tools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  <c r="I76" t="inlineStr"/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  <c r="I77" t="inlineStr"/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  <c r="I78" t="inlineStr"/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  <c r="I79" t="inlineStr"/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Tools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Expense</t>
        </is>
      </c>
      <c r="H80">
        <f>IF(G80&lt;&gt;F80,"YES","NO")</f>
        <v/>
      </c>
      <c r="I80" t="inlineStr"/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Tools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Expense</t>
        </is>
      </c>
      <c r="H81">
        <f>IF(G81&lt;&gt;F81,"YES","NO")</f>
        <v/>
      </c>
      <c r="I81" t="inlineStr"/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Tools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  <c r="I82" t="inlineStr"/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  <c r="I83" t="inlineStr"/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  <c r="I84" t="inlineStr"/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  <c r="I85" t="inlineStr"/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Tools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Expense</t>
        </is>
      </c>
      <c r="H86">
        <f>IF(G86&lt;&gt;F86,"YES","NO")</f>
        <v/>
      </c>
      <c r="I86" t="inlineStr"/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  <c r="I87" t="inlineStr"/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Tools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Expense</t>
        </is>
      </c>
      <c r="H88">
        <f>IF(G88&lt;&gt;F88,"YES","NO")</f>
        <v/>
      </c>
      <c r="I88" t="inlineStr"/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Tools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Expense</t>
        </is>
      </c>
      <c r="H89">
        <f>IF(G89&lt;&gt;F89,"YES","NO")</f>
        <v/>
      </c>
      <c r="I89" t="inlineStr"/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Transfer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Non-Deductible</t>
        </is>
      </c>
      <c r="H90">
        <f>IF(G90&lt;&gt;F90,"YES","NO")</f>
        <v/>
      </c>
      <c r="I90" t="inlineStr"/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Labor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  <c r="I91" t="inlineStr"/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Labor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  <c r="I92" t="inlineStr"/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Tools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Expense</t>
        </is>
      </c>
      <c r="H93">
        <f>IF(G93&lt;&gt;F93,"YES","NO")</f>
        <v/>
      </c>
      <c r="I93" t="inlineStr"/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Tools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  <c r="I94" t="inlineStr"/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Tools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Expense</t>
        </is>
      </c>
      <c r="H95">
        <f>IF(G95&lt;&gt;F95,"YES","NO")</f>
        <v/>
      </c>
      <c r="I95" t="inlineStr"/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  <c r="I96" t="inlineStr"/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  <c r="I97" t="inlineStr"/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Tools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  <c r="I98" t="inlineStr"/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  <c r="I99" t="inlineStr"/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Transfer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  <c r="I100" t="inlineStr"/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Labor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COGS</t>
        </is>
      </c>
      <c r="H101">
        <f>IF(G101&lt;&gt;F101,"YES","NO")</f>
        <v/>
      </c>
      <c r="I101" t="inlineStr"/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Labor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COGS</t>
        </is>
      </c>
      <c r="H102">
        <f>IF(G102&lt;&gt;F102,"YES","NO")</f>
        <v/>
      </c>
      <c r="I102" t="inlineStr"/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Tools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  <c r="I103" t="inlineStr"/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Tools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Expense</t>
        </is>
      </c>
      <c r="H104">
        <f>IF(G104&lt;&gt;F104,"YES","NO")</f>
        <v/>
      </c>
      <c r="I104" t="inlineStr"/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  <c r="I105" t="inlineStr"/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  <c r="I106" t="inlineStr"/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Transfer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Non-Deductible</t>
        </is>
      </c>
      <c r="H107">
        <f>IF(G107&lt;&gt;F107,"YES","NO")</f>
        <v/>
      </c>
      <c r="I107" t="inlineStr"/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Labor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COGS</t>
        </is>
      </c>
      <c r="H108">
        <f>IF(G108&lt;&gt;F108,"YES","NO")</f>
        <v/>
      </c>
      <c r="I108" t="inlineStr"/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Labor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COGS</t>
        </is>
      </c>
      <c r="H109">
        <f>IF(G109&lt;&gt;F109,"YES","NO")</f>
        <v/>
      </c>
      <c r="I109" t="inlineStr"/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  <c r="I110" t="inlineStr"/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Tools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Expense</t>
        </is>
      </c>
      <c r="H111">
        <f>IF(G111&lt;&gt;F111,"YES","NO")</f>
        <v/>
      </c>
      <c r="I111" t="inlineStr"/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  <c r="I112" t="inlineStr"/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Tools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Expense</t>
        </is>
      </c>
      <c r="H113">
        <f>IF(G113&lt;&gt;F113,"YES","NO")</f>
        <v/>
      </c>
      <c r="I113" t="inlineStr"/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Revenue</t>
        </is>
      </c>
      <c r="H114">
        <f>IF(G114&lt;&gt;F114,"YES","NO")</f>
        <v/>
      </c>
      <c r="I114" t="inlineStr"/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Fuel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Expense</t>
        </is>
      </c>
      <c r="H115">
        <f>IF(G115&lt;&gt;F115,"YES","NO")</f>
        <v/>
      </c>
      <c r="I115" t="inlineStr"/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Fuel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  <c r="I116" t="inlineStr"/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Tools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Expense</t>
        </is>
      </c>
      <c r="H117">
        <f>IF(G117&lt;&gt;F117,"YES","NO")</f>
        <v/>
      </c>
      <c r="I117" t="inlineStr"/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  <c r="I118" t="inlineStr"/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Tools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Expense</t>
        </is>
      </c>
      <c r="H119">
        <f>IF(G119&lt;&gt;F119,"YES","NO")</f>
        <v/>
      </c>
      <c r="I119" t="inlineStr"/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Tools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  <c r="I120" t="inlineStr"/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Tools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Expense</t>
        </is>
      </c>
      <c r="H121">
        <f>IF(G121&lt;&gt;F121,"YES","NO")</f>
        <v/>
      </c>
      <c r="I121" t="inlineStr"/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Transfer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Non-Deductible</t>
        </is>
      </c>
      <c r="H122">
        <f>IF(G122&lt;&gt;F122,"YES","NO")</f>
        <v/>
      </c>
      <c r="I122" t="inlineStr"/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Labor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COGS</t>
        </is>
      </c>
      <c r="H123">
        <f>IF(G123&lt;&gt;F123,"YES","NO")</f>
        <v/>
      </c>
      <c r="I123" t="inlineStr"/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Tools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Expense</t>
        </is>
      </c>
      <c r="H124">
        <f>IF(G124&lt;&gt;F124,"YES","NO")</f>
        <v/>
      </c>
      <c r="I124" t="inlineStr"/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Tools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Expense</t>
        </is>
      </c>
      <c r="H125">
        <f>IF(G125&lt;&gt;F125,"YES","NO")</f>
        <v/>
      </c>
      <c r="I125" t="inlineStr"/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Repairs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Expense</t>
        </is>
      </c>
      <c r="H126">
        <f>IF(G126&lt;&gt;F126,"YES","NO")</f>
        <v/>
      </c>
      <c r="I126" t="inlineStr"/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  <c r="I127" t="inlineStr"/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Labor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COGS</t>
        </is>
      </c>
      <c r="H128">
        <f>IF(G128&lt;&gt;F128,"YES","NO")</f>
        <v/>
      </c>
      <c r="I128" t="inlineStr"/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  <c r="I129" t="inlineStr"/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Tools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Expense</t>
        </is>
      </c>
      <c r="H130">
        <f>IF(G130&lt;&gt;F130,"YES","NO")</f>
        <v/>
      </c>
      <c r="I130" t="inlineStr"/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Tools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Expense</t>
        </is>
      </c>
      <c r="H131">
        <f>IF(G131&lt;&gt;F131,"YES","NO")</f>
        <v/>
      </c>
      <c r="I131" t="inlineStr"/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  <c r="I132" t="inlineStr"/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Tools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  <c r="I133" t="inlineStr"/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  <c r="I134" t="inlineStr"/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  <c r="I135" t="inlineStr"/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Fuel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  <c r="I136" t="inlineStr"/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  <c r="I137" t="inlineStr"/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Tools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  <c r="I138" t="inlineStr"/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Labor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  <c r="I139" t="inlineStr"/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  <c r="I140" t="inlineStr"/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  <c r="I141" t="inlineStr"/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Transfer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Non-Deductible</t>
        </is>
      </c>
      <c r="H142">
        <f>IF(G142&lt;&gt;F142,"YES","NO")</f>
        <v/>
      </c>
      <c r="I142" t="inlineStr"/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Labor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COGS</t>
        </is>
      </c>
      <c r="H143">
        <f>IF(G143&lt;&gt;F143,"YES","NO")</f>
        <v/>
      </c>
      <c r="I143" t="inlineStr"/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Labor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COGS</t>
        </is>
      </c>
      <c r="H144">
        <f>IF(G144&lt;&gt;F144,"YES","NO")</f>
        <v/>
      </c>
      <c r="I144" t="inlineStr"/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Labor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COGS</t>
        </is>
      </c>
      <c r="H145">
        <f>IF(G145&lt;&gt;F145,"YES","NO")</f>
        <v/>
      </c>
      <c r="I145" t="inlineStr"/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Tools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Expense</t>
        </is>
      </c>
      <c r="H146">
        <f>IF(G146&lt;&gt;F146,"YES","NO")</f>
        <v/>
      </c>
      <c r="I146" t="inlineStr"/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  <c r="I147" t="inlineStr"/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  <c r="I148" t="inlineStr"/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Tools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Expense</t>
        </is>
      </c>
      <c r="H149">
        <f>IF(G149&lt;&gt;F149,"YES","NO")</f>
        <v/>
      </c>
      <c r="I149" t="inlineStr"/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Tools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Expense</t>
        </is>
      </c>
      <c r="H150">
        <f>IF(G150&lt;&gt;F150,"YES","NO")</f>
        <v/>
      </c>
      <c r="I150" t="inlineStr"/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Tools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  <c r="I151" t="inlineStr"/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Tools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  <c r="I152" t="inlineStr"/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Revenue</t>
        </is>
      </c>
      <c r="H153">
        <f>IF(G153&lt;&gt;F153,"YES","NO")</f>
        <v/>
      </c>
      <c r="I153" t="inlineStr"/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  <c r="I154" t="inlineStr"/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  <c r="I155" t="inlineStr"/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  <c r="I156" t="inlineStr"/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Tools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  <c r="I157" t="inlineStr"/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Revenue</t>
        </is>
      </c>
      <c r="H158">
        <f>IF(G158&lt;&gt;F158,"YES","NO")</f>
        <v/>
      </c>
      <c r="I158" t="inlineStr"/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Tools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  <c r="I159" t="inlineStr"/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Transfer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Non-Deductible</t>
        </is>
      </c>
      <c r="H160">
        <f>IF(G160&lt;&gt;F160,"YES","NO")</f>
        <v/>
      </c>
      <c r="I160" t="inlineStr"/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Labor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COGS</t>
        </is>
      </c>
      <c r="H161">
        <f>IF(G161&lt;&gt;F161,"YES","NO")</f>
        <v/>
      </c>
      <c r="I161" t="inlineStr"/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  <c r="I162" t="inlineStr"/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Tools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Expense</t>
        </is>
      </c>
      <c r="H163">
        <f>IF(G163&lt;&gt;F163,"YES","NO")</f>
        <v/>
      </c>
      <c r="I163" t="inlineStr"/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  <c r="I164" t="inlineStr"/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Transfer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Non-Deductible</t>
        </is>
      </c>
      <c r="H165">
        <f>IF(G165&lt;&gt;F165,"YES","NO")</f>
        <v/>
      </c>
      <c r="I165" t="inlineStr"/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Non-Deductible</t>
        </is>
      </c>
      <c r="H166">
        <f>IF(G166&lt;&gt;F166,"YES","NO")</f>
        <v/>
      </c>
      <c r="I166" t="inlineStr"/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Fuel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  <c r="I167" t="inlineStr"/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Tools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Expense</t>
        </is>
      </c>
      <c r="H168">
        <f>IF(G168&lt;&gt;F168,"YES","NO")</f>
        <v/>
      </c>
      <c r="I168" t="inlineStr"/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Tools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Expense</t>
        </is>
      </c>
      <c r="H169">
        <f>IF(G169&lt;&gt;F169,"YES","NO")</f>
        <v/>
      </c>
      <c r="I169" t="inlineStr"/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Transfer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Non-Deductible</t>
        </is>
      </c>
      <c r="H170">
        <f>IF(G170&lt;&gt;F170,"YES","NO")</f>
        <v/>
      </c>
      <c r="I170" t="inlineStr"/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  <c r="I171" t="inlineStr"/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Tools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Expense</t>
        </is>
      </c>
      <c r="H172">
        <f>IF(G172&lt;&gt;F172,"YES","NO")</f>
        <v/>
      </c>
      <c r="I172" t="inlineStr"/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  <c r="I173" t="inlineStr"/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  <c r="I174" t="inlineStr"/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Transfer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Non-Deductible</t>
        </is>
      </c>
      <c r="H175">
        <f>IF(G175&lt;&gt;F175,"YES","NO")</f>
        <v/>
      </c>
      <c r="I175" t="inlineStr"/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Labor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COGS</t>
        </is>
      </c>
      <c r="H176">
        <f>IF(G176&lt;&gt;F176,"YES","NO")</f>
        <v/>
      </c>
      <c r="I176" t="inlineStr"/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Labor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COGS</t>
        </is>
      </c>
      <c r="H177">
        <f>IF(G177&lt;&gt;F177,"YES","NO")</f>
        <v/>
      </c>
      <c r="I177" t="inlineStr"/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  <c r="I178" t="inlineStr"/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  <c r="I179" t="inlineStr"/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  <c r="I180" t="inlineStr"/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  <c r="I181" t="inlineStr"/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  <c r="I182" t="inlineStr"/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Repairs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  <c r="I183" t="inlineStr"/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Tools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Expense</t>
        </is>
      </c>
      <c r="H184">
        <f>IF(G184&lt;&gt;F184,"YES","NO")</f>
        <v/>
      </c>
      <c r="I184" t="inlineStr"/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  <c r="I185" t="inlineStr"/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  <c r="I186" t="inlineStr"/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  <c r="I187" t="inlineStr"/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Tools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Expense</t>
        </is>
      </c>
      <c r="H188">
        <f>IF(G188&lt;&gt;F188,"YES","NO")</f>
        <v/>
      </c>
      <c r="I188" t="inlineStr"/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Revenue</t>
        </is>
      </c>
      <c r="H189">
        <f>IF(G189&lt;&gt;F189,"YES","NO")</f>
        <v/>
      </c>
      <c r="I189" t="inlineStr"/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Tools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  <c r="I190" t="inlineStr"/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Tools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  <c r="I191" t="inlineStr"/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  <c r="I192" t="inlineStr"/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Labor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COGS</t>
        </is>
      </c>
      <c r="H193">
        <f>IF(G193&lt;&gt;F193,"YES","NO")</f>
        <v/>
      </c>
      <c r="I193" t="inlineStr"/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Non-Deductible</t>
        </is>
      </c>
      <c r="H194">
        <f>IF(G194&lt;&gt;F194,"YES","NO")</f>
        <v/>
      </c>
      <c r="I194" t="inlineStr"/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Tools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Expense</t>
        </is>
      </c>
      <c r="H195">
        <f>IF(G195&lt;&gt;F195,"YES","NO")</f>
        <v/>
      </c>
      <c r="I195" t="inlineStr"/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Transfer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Non-Deductible</t>
        </is>
      </c>
      <c r="H196">
        <f>IF(G196&lt;&gt;F196,"YES","NO")</f>
        <v/>
      </c>
      <c r="I196" t="inlineStr"/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Labor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COGS</t>
        </is>
      </c>
      <c r="H197">
        <f>IF(G197&lt;&gt;F197,"YES","NO")</f>
        <v/>
      </c>
      <c r="I197" t="inlineStr"/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Labor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COGS</t>
        </is>
      </c>
      <c r="H198">
        <f>IF(G198&lt;&gt;F198,"YES","NO")</f>
        <v/>
      </c>
      <c r="I198" t="inlineStr"/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  <c r="I199" t="inlineStr"/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Tools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Expense</t>
        </is>
      </c>
      <c r="H200">
        <f>IF(G200&lt;&gt;F200,"YES","NO")</f>
        <v/>
      </c>
      <c r="I200" t="inlineStr"/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Tools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Expense</t>
        </is>
      </c>
      <c r="H201">
        <f>IF(G201&lt;&gt;F201,"YES","NO")</f>
        <v/>
      </c>
      <c r="I201" t="inlineStr"/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Tools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Expense</t>
        </is>
      </c>
      <c r="H202">
        <f>IF(G202&lt;&gt;F202,"YES","NO")</f>
        <v/>
      </c>
      <c r="I202" t="inlineStr"/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  <c r="I203" t="inlineStr"/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Tools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  <c r="I204" t="inlineStr"/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Tools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  <c r="I205" t="inlineStr"/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  <c r="I206" t="inlineStr"/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Labor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COGS</t>
        </is>
      </c>
      <c r="H207">
        <f>IF(G207&lt;&gt;F207,"YES","NO")</f>
        <v/>
      </c>
      <c r="I207" t="inlineStr"/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Labor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COGS</t>
        </is>
      </c>
      <c r="H208">
        <f>IF(G208&lt;&gt;F208,"YES","NO")</f>
        <v/>
      </c>
      <c r="I208" t="inlineStr"/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Tools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Expense</t>
        </is>
      </c>
      <c r="H209">
        <f>IF(G209&lt;&gt;F209,"YES","NO")</f>
        <v/>
      </c>
      <c r="I209" t="inlineStr"/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Tools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Expense</t>
        </is>
      </c>
      <c r="H210">
        <f>IF(G210&lt;&gt;F210,"YES","NO")</f>
        <v/>
      </c>
      <c r="I210" t="inlineStr"/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  <c r="I211" t="inlineStr"/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Revenue</t>
        </is>
      </c>
      <c r="H212">
        <f>IF(G212&lt;&gt;F212,"YES","NO")</f>
        <v/>
      </c>
      <c r="I212" t="inlineStr"/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Revenue</t>
        </is>
      </c>
      <c r="H213">
        <f>IF(G213&lt;&gt;F213,"YES","NO")</f>
        <v/>
      </c>
      <c r="I213" t="inlineStr"/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Revenue</t>
        </is>
      </c>
      <c r="H214">
        <f>IF(G214&lt;&gt;F214,"YES","NO")</f>
        <v/>
      </c>
      <c r="I214" t="inlineStr"/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Transfer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  <c r="I215" t="inlineStr"/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Labor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COGS</t>
        </is>
      </c>
      <c r="H216">
        <f>IF(G216&lt;&gt;F216,"YES","NO")</f>
        <v/>
      </c>
      <c r="I216" t="inlineStr"/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Labor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COGS</t>
        </is>
      </c>
      <c r="H217">
        <f>IF(G217&lt;&gt;F217,"YES","NO")</f>
        <v/>
      </c>
      <c r="I217" t="inlineStr"/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  <c r="I218" t="inlineStr"/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  <c r="I219" t="inlineStr"/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Revenue</t>
        </is>
      </c>
      <c r="H220">
        <f>IF(G220&lt;&gt;F220,"YES","NO")</f>
        <v/>
      </c>
      <c r="I220" t="inlineStr"/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Transfer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Non-Deductible</t>
        </is>
      </c>
      <c r="H221">
        <f>IF(G221&lt;&gt;F221,"YES","NO")</f>
        <v/>
      </c>
      <c r="I221" t="inlineStr"/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Tools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  <c r="I222" t="inlineStr"/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Revenue</t>
        </is>
      </c>
      <c r="H223">
        <f>IF(G223&lt;&gt;F223,"YES","NO")</f>
        <v/>
      </c>
      <c r="I223" t="inlineStr"/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  <c r="I224" t="inlineStr"/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  <c r="I225" t="inlineStr"/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  <c r="I226" t="inlineStr"/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Revenue</t>
        </is>
      </c>
      <c r="H227">
        <f>IF(G227&lt;&gt;F227,"YES","NO")</f>
        <v/>
      </c>
      <c r="I227" t="inlineStr"/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Revenue</t>
        </is>
      </c>
      <c r="H228">
        <f>IF(G228&lt;&gt;F228,"YES","NO")</f>
        <v/>
      </c>
      <c r="I228" t="inlineStr"/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Fuel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Expense</t>
        </is>
      </c>
      <c r="H229">
        <f>IF(G229&lt;&gt;F229,"YES","NO")</f>
        <v/>
      </c>
      <c r="I229" t="inlineStr"/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Transfer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Non-Deductible</t>
        </is>
      </c>
      <c r="H230">
        <f>IF(G230&lt;&gt;F230,"YES","NO")</f>
        <v/>
      </c>
      <c r="I230" t="inlineStr"/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Tools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Expense</t>
        </is>
      </c>
      <c r="H231">
        <f>IF(G231&lt;&gt;F231,"YES","NO")</f>
        <v/>
      </c>
      <c r="I231" t="inlineStr"/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  <c r="I232" t="inlineStr"/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Tools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  <c r="I233" t="inlineStr"/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Tools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Expense</t>
        </is>
      </c>
      <c r="H234">
        <f>IF(G234&lt;&gt;F234,"YES","NO")</f>
        <v/>
      </c>
      <c r="I234" t="inlineStr"/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Revenue</t>
        </is>
      </c>
      <c r="H235">
        <f>IF(G235&lt;&gt;F235,"YES","NO")</f>
        <v/>
      </c>
      <c r="I235" t="inlineStr"/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  <c r="I236" t="inlineStr"/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Tools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Expense</t>
        </is>
      </c>
      <c r="H237">
        <f>IF(G237&lt;&gt;F237,"YES","NO")</f>
        <v/>
      </c>
      <c r="I237" t="inlineStr"/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Transfer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Non-Deductible</t>
        </is>
      </c>
      <c r="H238">
        <f>IF(G238&lt;&gt;F238,"YES","NO")</f>
        <v/>
      </c>
      <c r="I238" t="inlineStr"/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Transfer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Non-Deductible</t>
        </is>
      </c>
      <c r="H239">
        <f>IF(G239&lt;&gt;F239,"YES","NO")</f>
        <v/>
      </c>
      <c r="I239" t="inlineStr"/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  <c r="I240" t="inlineStr"/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Tools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Expense</t>
        </is>
      </c>
      <c r="H241">
        <f>IF(G241&lt;&gt;F241,"YES","NO")</f>
        <v/>
      </c>
      <c r="I241" t="inlineStr"/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Tools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Expense</t>
        </is>
      </c>
      <c r="H242">
        <f>IF(G242&lt;&gt;F242,"YES","NO")</f>
        <v/>
      </c>
      <c r="I242" t="inlineStr"/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Revenue</t>
        </is>
      </c>
      <c r="H243">
        <f>IF(G243&lt;&gt;F243,"YES","NO")</f>
        <v/>
      </c>
      <c r="I243" t="inlineStr"/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Transfer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Non-Deductible</t>
        </is>
      </c>
      <c r="H244">
        <f>IF(G244&lt;&gt;F244,"YES","NO")</f>
        <v/>
      </c>
      <c r="I244" t="inlineStr"/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Labor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COGS</t>
        </is>
      </c>
      <c r="H245">
        <f>IF(G245&lt;&gt;F245,"YES","NO")</f>
        <v/>
      </c>
      <c r="I245" t="inlineStr"/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Labor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COGS</t>
        </is>
      </c>
      <c r="H246">
        <f>IF(G246&lt;&gt;F246,"YES","NO")</f>
        <v/>
      </c>
      <c r="I246" t="inlineStr"/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  <c r="I247" t="inlineStr"/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  <c r="I248" t="inlineStr"/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Labor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COGS</t>
        </is>
      </c>
      <c r="H249">
        <f>IF(G249&lt;&gt;F249,"YES","NO")</f>
        <v/>
      </c>
      <c r="I249" t="inlineStr"/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Revenue</t>
        </is>
      </c>
      <c r="H250">
        <f>IF(G250&lt;&gt;F250,"YES","NO")</f>
        <v/>
      </c>
      <c r="I250" t="inlineStr"/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Tools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  <c r="I251" t="inlineStr"/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  <c r="I252" t="inlineStr"/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Tools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Expense</t>
        </is>
      </c>
      <c r="H253">
        <f>IF(G253&lt;&gt;F253,"YES","NO")</f>
        <v/>
      </c>
      <c r="I253" t="inlineStr"/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  <c r="I254" t="inlineStr"/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Tools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  <c r="I255" t="inlineStr"/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  <c r="I256" t="inlineStr"/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  <c r="I257" t="inlineStr"/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  <c r="I258" t="inlineStr"/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  <c r="I259" t="inlineStr"/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Tools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Expense</t>
        </is>
      </c>
      <c r="H260">
        <f>IF(G260&lt;&gt;F260,"YES","NO")</f>
        <v/>
      </c>
      <c r="I260" t="inlineStr"/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  <c r="I261" t="inlineStr"/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  <c r="I262" t="inlineStr"/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  <c r="I263" t="inlineStr"/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Transfer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Non-Deductible</t>
        </is>
      </c>
      <c r="H264">
        <f>IF(G264&lt;&gt;F264,"YES","NO")</f>
        <v/>
      </c>
      <c r="I264" t="inlineStr"/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Transfer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Non-Deductible</t>
        </is>
      </c>
      <c r="H265">
        <f>IF(G265&lt;&gt;F265,"YES","NO")</f>
        <v/>
      </c>
      <c r="I265" t="inlineStr"/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  <c r="I266" t="inlineStr"/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  <c r="I267" t="inlineStr"/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Tools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Expense</t>
        </is>
      </c>
      <c r="H268">
        <f>IF(G268&lt;&gt;F268,"YES","NO")</f>
        <v/>
      </c>
      <c r="I268" t="inlineStr"/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Tools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Expense</t>
        </is>
      </c>
      <c r="H269">
        <f>IF(G269&lt;&gt;F269,"YES","NO")</f>
        <v/>
      </c>
      <c r="I269" t="inlineStr"/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Tools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  <c r="I270" t="inlineStr"/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  <c r="I271" t="inlineStr"/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Tools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  <c r="I272" t="inlineStr"/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  <c r="I273" t="inlineStr"/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  <c r="I274" t="inlineStr"/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Labor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COGS</t>
        </is>
      </c>
      <c r="H275">
        <f>IF(G275&lt;&gt;F275,"YES","NO")</f>
        <v/>
      </c>
      <c r="I275" t="inlineStr"/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Tools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  <c r="I276" t="inlineStr"/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Transfer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Non-Deductible</t>
        </is>
      </c>
      <c r="H277">
        <f>IF(G277&lt;&gt;F277,"YES","NO")</f>
        <v/>
      </c>
      <c r="I277" t="inlineStr"/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Transfer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Non-Deductible</t>
        </is>
      </c>
      <c r="H278">
        <f>IF(G278&lt;&gt;F278,"YES","NO")</f>
        <v/>
      </c>
      <c r="I278" t="inlineStr"/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Transfer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Non-Deductible</t>
        </is>
      </c>
      <c r="H279">
        <f>IF(G279&lt;&gt;F279,"YES","NO")</f>
        <v/>
      </c>
      <c r="I279" t="inlineStr"/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Tools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Expense</t>
        </is>
      </c>
      <c r="H280">
        <f>IF(G280&lt;&gt;F280,"YES","NO")</f>
        <v/>
      </c>
      <c r="I280" t="inlineStr"/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  <c r="I281" t="inlineStr"/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Tools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Expense</t>
        </is>
      </c>
      <c r="H282">
        <f>IF(G282&lt;&gt;F282,"YES","NO")</f>
        <v/>
      </c>
      <c r="I282" t="inlineStr"/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Tools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Expense</t>
        </is>
      </c>
      <c r="H283">
        <f>IF(G283&lt;&gt;F283,"YES","NO")</f>
        <v/>
      </c>
      <c r="I283" t="inlineStr"/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Tools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Expense</t>
        </is>
      </c>
      <c r="H284">
        <f>IF(G284&lt;&gt;F284,"YES","NO")</f>
        <v/>
      </c>
      <c r="I284" t="inlineStr"/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  <c r="I285" t="inlineStr"/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Tools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  <c r="I286" t="inlineStr"/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  <c r="I287" t="inlineStr"/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  <c r="I288" t="inlineStr"/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Non-Deductible</t>
        </is>
      </c>
      <c r="H289">
        <f>IF(G289&lt;&gt;F289,"YES","NO")</f>
        <v/>
      </c>
      <c r="I289" t="inlineStr"/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Revenue</t>
        </is>
      </c>
      <c r="H290">
        <f>IF(G290&lt;&gt;F290,"YES","NO")</f>
        <v/>
      </c>
      <c r="I290" t="inlineStr"/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  <c r="I291" t="inlineStr"/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Tools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Expense</t>
        </is>
      </c>
      <c r="H292">
        <f>IF(G292&lt;&gt;F292,"YES","NO")</f>
        <v/>
      </c>
      <c r="I292" t="inlineStr"/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  <c r="I293" t="inlineStr"/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Non-Deductible</t>
        </is>
      </c>
      <c r="H294">
        <f>IF(G294&lt;&gt;F294,"YES","NO")</f>
        <v/>
      </c>
      <c r="I294" t="inlineStr"/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Revenue</t>
        </is>
      </c>
      <c r="H295">
        <f>IF(G295&lt;&gt;F295,"YES","NO")</f>
        <v/>
      </c>
      <c r="I295" t="inlineStr"/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Tools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  <c r="I296" t="inlineStr"/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Transfer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Non-Deductible</t>
        </is>
      </c>
      <c r="H297">
        <f>IF(G297&lt;&gt;F297,"YES","NO")</f>
        <v/>
      </c>
      <c r="I297" t="inlineStr"/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Labor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COGS</t>
        </is>
      </c>
      <c r="H298">
        <f>IF(G298&lt;&gt;F298,"YES","NO")</f>
        <v/>
      </c>
      <c r="I298" t="inlineStr"/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  <c r="I299" t="inlineStr"/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  <c r="I300" t="inlineStr"/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Labor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COGS</t>
        </is>
      </c>
      <c r="H301">
        <f>IF(G301&lt;&gt;F301,"YES","NO")</f>
        <v/>
      </c>
      <c r="I301" t="inlineStr"/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  <c r="I302" t="inlineStr"/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  <c r="I303" t="inlineStr"/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Tools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Expense</t>
        </is>
      </c>
      <c r="H304">
        <f>IF(G304&lt;&gt;F304,"YES","NO")</f>
        <v/>
      </c>
      <c r="I304" t="inlineStr"/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  <c r="I305" t="inlineStr"/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  <c r="I306" t="inlineStr"/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Tools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Expense</t>
        </is>
      </c>
      <c r="H307">
        <f>IF(G307&lt;&gt;F307,"YES","NO")</f>
        <v/>
      </c>
      <c r="I307" t="inlineStr"/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  <c r="I308" t="inlineStr"/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  <c r="I309" t="inlineStr"/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  <c r="I310" t="inlineStr"/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Tools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Expense</t>
        </is>
      </c>
      <c r="H311">
        <f>IF(G311&lt;&gt;F311,"YES","NO")</f>
        <v/>
      </c>
      <c r="I311" t="inlineStr"/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Tools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Expense</t>
        </is>
      </c>
      <c r="H312">
        <f>IF(G312&lt;&gt;F312,"YES","NO")</f>
        <v/>
      </c>
      <c r="I312" t="inlineStr"/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  <c r="I313" t="inlineStr"/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Tools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Expense</t>
        </is>
      </c>
      <c r="H314">
        <f>IF(G314&lt;&gt;F314,"YES","NO")</f>
        <v/>
      </c>
      <c r="I314" t="inlineStr"/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  <c r="I315" t="inlineStr"/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Transfer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Non-Deductible</t>
        </is>
      </c>
      <c r="H316">
        <f>IF(G316&lt;&gt;F316,"YES","NO")</f>
        <v/>
      </c>
      <c r="I316" t="inlineStr"/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Labor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COGS</t>
        </is>
      </c>
      <c r="H317">
        <f>IF(G317&lt;&gt;F317,"YES","NO")</f>
        <v/>
      </c>
      <c r="I317" t="inlineStr"/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Labor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COGS</t>
        </is>
      </c>
      <c r="H318">
        <f>IF(G318&lt;&gt;F318,"YES","NO")</f>
        <v/>
      </c>
      <c r="I318" t="inlineStr"/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Tools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Expense</t>
        </is>
      </c>
      <c r="H319">
        <f>IF(G319&lt;&gt;F319,"YES","NO")</f>
        <v/>
      </c>
      <c r="I319" t="inlineStr"/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  <c r="I320" t="inlineStr"/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  <c r="I321" t="inlineStr"/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Tools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Expense</t>
        </is>
      </c>
      <c r="H322">
        <f>IF(G322&lt;&gt;F322,"YES","NO")</f>
        <v/>
      </c>
      <c r="I322" t="inlineStr"/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Tools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Expense</t>
        </is>
      </c>
      <c r="H323">
        <f>IF(G323&lt;&gt;F323,"YES","NO")</f>
        <v/>
      </c>
      <c r="I323" t="inlineStr"/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Tools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  <c r="I324" t="inlineStr"/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  <c r="I325" t="inlineStr"/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  <c r="I326" t="inlineStr"/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Tools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Expense</t>
        </is>
      </c>
      <c r="H327">
        <f>IF(G327&lt;&gt;F327,"YES","NO")</f>
        <v/>
      </c>
      <c r="I327" t="inlineStr"/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  <c r="I328" t="inlineStr"/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Tools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Expense</t>
        </is>
      </c>
      <c r="H329">
        <f>IF(G329&lt;&gt;F329,"YES","NO")</f>
        <v/>
      </c>
      <c r="I329" t="inlineStr"/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Tools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  <c r="I330" t="inlineStr"/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Tools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Expense</t>
        </is>
      </c>
      <c r="H331">
        <f>IF(G331&lt;&gt;F331,"YES","NO")</f>
        <v/>
      </c>
      <c r="I331" t="inlineStr"/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Revenue</t>
        </is>
      </c>
      <c r="H332">
        <f>IF(G332&lt;&gt;F332,"YES","NO")</f>
        <v/>
      </c>
      <c r="I332" t="inlineStr"/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  <c r="I333" t="inlineStr"/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  <c r="I334" t="inlineStr"/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  <c r="I335" t="inlineStr"/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Labor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COGS</t>
        </is>
      </c>
      <c r="H336">
        <f>IF(G336&lt;&gt;F336,"YES","NO")</f>
        <v/>
      </c>
      <c r="I336" t="inlineStr"/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  <c r="I337" t="inlineStr"/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Tools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Expense</t>
        </is>
      </c>
      <c r="H338">
        <f>IF(G338&lt;&gt;F338,"YES","NO")</f>
        <v/>
      </c>
      <c r="I338" t="inlineStr"/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  <c r="I339" t="inlineStr"/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Tools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Expense</t>
        </is>
      </c>
      <c r="H340">
        <f>IF(G340&lt;&gt;F340,"YES","NO")</f>
        <v/>
      </c>
      <c r="I340" t="inlineStr"/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  <c r="I341" t="inlineStr"/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  <c r="I342" t="inlineStr"/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  <c r="I343" t="inlineStr"/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Tools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  <c r="I344" t="inlineStr"/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Tools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Expense</t>
        </is>
      </c>
      <c r="H345">
        <f>IF(G345&lt;&gt;F345,"YES","NO")</f>
        <v/>
      </c>
      <c r="I345" t="inlineStr"/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Tools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Expense</t>
        </is>
      </c>
      <c r="H346">
        <f>IF(G346&lt;&gt;F346,"YES","NO")</f>
        <v/>
      </c>
      <c r="I346" t="inlineStr"/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  <c r="I347" t="inlineStr"/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  <c r="I348" t="inlineStr"/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  <c r="I349" t="inlineStr"/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  <c r="I350" t="inlineStr"/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Tools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Expense</t>
        </is>
      </c>
      <c r="H351">
        <f>IF(G351&lt;&gt;F351,"YES","NO")</f>
        <v/>
      </c>
      <c r="I351" t="inlineStr"/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Tools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  <c r="I352" t="inlineStr"/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  <c r="I353" t="inlineStr"/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Labor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COGS</t>
        </is>
      </c>
      <c r="H354">
        <f>IF(G354&lt;&gt;F354,"YES","NO")</f>
        <v/>
      </c>
      <c r="I354" t="inlineStr"/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Repairs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  <c r="I355" t="inlineStr"/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Transfer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Non-Deductible</t>
        </is>
      </c>
      <c r="H356">
        <f>IF(G356&lt;&gt;F356,"YES","NO")</f>
        <v/>
      </c>
      <c r="I356" t="inlineStr"/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Tools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Expense</t>
        </is>
      </c>
      <c r="H357">
        <f>IF(G357&lt;&gt;F357,"YES","NO")</f>
        <v/>
      </c>
      <c r="I357" t="inlineStr"/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Revenue</t>
        </is>
      </c>
      <c r="H358">
        <f>IF(G358&lt;&gt;F358,"YES","NO")</f>
        <v/>
      </c>
      <c r="I358" t="inlineStr"/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  <c r="I359" t="inlineStr"/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Tools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Expense</t>
        </is>
      </c>
      <c r="H360">
        <f>IF(G360&lt;&gt;F360,"YES","NO")</f>
        <v/>
      </c>
      <c r="I360" t="inlineStr"/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  <c r="I361" t="inlineStr"/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Revenue</t>
        </is>
      </c>
      <c r="H362">
        <f>IF(G362&lt;&gt;F362,"YES","NO")</f>
        <v/>
      </c>
      <c r="I362" t="inlineStr"/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Revenue</t>
        </is>
      </c>
      <c r="H363">
        <f>IF(G363&lt;&gt;F363,"YES","NO")</f>
        <v/>
      </c>
      <c r="I363" t="inlineStr"/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Revenue</t>
        </is>
      </c>
      <c r="H364">
        <f>IF(G364&lt;&gt;F364,"YES","NO")</f>
        <v/>
      </c>
      <c r="I364" t="inlineStr"/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Tools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Expense</t>
        </is>
      </c>
      <c r="H365">
        <f>IF(G365&lt;&gt;F365,"YES","NO")</f>
        <v/>
      </c>
      <c r="I365" t="inlineStr"/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  <c r="I366" t="inlineStr"/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  <c r="I367" t="inlineStr"/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  <c r="I368" t="inlineStr"/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  <c r="I369" t="inlineStr"/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Transfer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Non-Deductible</t>
        </is>
      </c>
      <c r="H370">
        <f>IF(G370&lt;&gt;F370,"YES","NO")</f>
        <v/>
      </c>
      <c r="I370" t="inlineStr"/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Transfer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Non-Deductible</t>
        </is>
      </c>
      <c r="H371">
        <f>IF(G371&lt;&gt;F371,"YES","NO")</f>
        <v/>
      </c>
      <c r="I371" t="inlineStr"/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Labor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COGS</t>
        </is>
      </c>
      <c r="H372">
        <f>IF(G372&lt;&gt;F372,"YES","NO")</f>
        <v/>
      </c>
      <c r="I372" t="inlineStr"/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Tools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Expense</t>
        </is>
      </c>
      <c r="H373">
        <f>IF(G373&lt;&gt;F373,"YES","NO")</f>
        <v/>
      </c>
      <c r="I373" t="inlineStr"/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  <c r="I374" t="inlineStr"/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Tools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Expense</t>
        </is>
      </c>
      <c r="H375">
        <f>IF(G375&lt;&gt;F375,"YES","NO")</f>
        <v/>
      </c>
      <c r="I375" t="inlineStr"/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Materials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COGS</t>
        </is>
      </c>
      <c r="H376">
        <f>IF(G376&lt;&gt;F376,"YES","NO")</f>
        <v/>
      </c>
      <c r="I376" t="inlineStr"/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Revenue</t>
        </is>
      </c>
      <c r="H377">
        <f>IF(G377&lt;&gt;F377,"YES","NO")</f>
        <v/>
      </c>
      <c r="I377" t="inlineStr"/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Tools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Expense</t>
        </is>
      </c>
      <c r="H378">
        <f>IF(G378&lt;&gt;F378,"YES","NO")</f>
        <v/>
      </c>
      <c r="I378" t="inlineStr"/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Tools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Expense</t>
        </is>
      </c>
      <c r="H379">
        <f>IF(G379&lt;&gt;F379,"YES","NO")</f>
        <v/>
      </c>
      <c r="I379" t="inlineStr"/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  <c r="I380" t="inlineStr"/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Tools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Expense</t>
        </is>
      </c>
      <c r="H381">
        <f>IF(G381&lt;&gt;F381,"YES","NO")</f>
        <v/>
      </c>
      <c r="I381" t="inlineStr"/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Revenue</t>
        </is>
      </c>
      <c r="H382">
        <f>IF(G382&lt;&gt;F382,"YES","NO")</f>
        <v/>
      </c>
      <c r="I382" t="inlineStr"/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Revenue</t>
        </is>
      </c>
      <c r="H383">
        <f>IF(G383&lt;&gt;F383,"YES","NO")</f>
        <v/>
      </c>
      <c r="I383" t="inlineStr"/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  <c r="I384" t="inlineStr"/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  <c r="I385" t="inlineStr"/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Tools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Expense</t>
        </is>
      </c>
      <c r="H386">
        <f>IF(G386&lt;&gt;F386,"YES","NO")</f>
        <v/>
      </c>
      <c r="I386" t="inlineStr"/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  <c r="I387" t="inlineStr"/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  <c r="I388" t="inlineStr"/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Fuel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  <c r="I389" t="inlineStr"/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Transfer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  <c r="I390" t="inlineStr"/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Labor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COGS</t>
        </is>
      </c>
      <c r="H391">
        <f>IF(G391&lt;&gt;F391,"YES","NO")</f>
        <v/>
      </c>
      <c r="I391" t="inlineStr"/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Tools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  <c r="I392" t="inlineStr"/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  <c r="I393" t="inlineStr"/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  <c r="I394" t="inlineStr"/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Tools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  <c r="I395" t="inlineStr"/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Revenue</t>
        </is>
      </c>
      <c r="H396">
        <f>IF(G396&lt;&gt;F396,"YES","NO")</f>
        <v/>
      </c>
      <c r="I396" t="inlineStr"/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  <c r="I397" t="inlineStr"/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  <c r="I398" t="inlineStr"/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  <c r="I399" t="inlineStr"/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Transfer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Non-Deductible</t>
        </is>
      </c>
      <c r="H400">
        <f>IF(G400&lt;&gt;F400,"YES","NO")</f>
        <v/>
      </c>
      <c r="I400" t="inlineStr"/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Labor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COGS</t>
        </is>
      </c>
      <c r="H401">
        <f>IF(G401&lt;&gt;F401,"YES","NO")</f>
        <v/>
      </c>
      <c r="I401" t="inlineStr"/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Labor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COGS</t>
        </is>
      </c>
      <c r="H402">
        <f>IF(G402&lt;&gt;F402,"YES","NO")</f>
        <v/>
      </c>
      <c r="I402" t="inlineStr"/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Labor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  <c r="I403" t="inlineStr"/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Tools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Expense</t>
        </is>
      </c>
      <c r="H404">
        <f>IF(G404&lt;&gt;F404,"YES","NO")</f>
        <v/>
      </c>
      <c r="I404" t="inlineStr"/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Revenue</t>
        </is>
      </c>
      <c r="H405">
        <f>IF(G405&lt;&gt;F405,"YES","NO")</f>
        <v/>
      </c>
      <c r="I405" t="inlineStr"/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Transfer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Non-Deductible</t>
        </is>
      </c>
      <c r="H406">
        <f>IF(G406&lt;&gt;F406,"YES","NO")</f>
        <v/>
      </c>
      <c r="I406" t="inlineStr"/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  <c r="I407" t="inlineStr"/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  <c r="I408" t="inlineStr"/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Revenue</t>
        </is>
      </c>
      <c r="H409">
        <f>IF(G409&lt;&gt;F409,"YES","NO")</f>
        <v/>
      </c>
      <c r="I409" t="inlineStr"/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  <c r="I410" t="inlineStr"/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Transfer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Non-Deductible</t>
        </is>
      </c>
      <c r="H411">
        <f>IF(G411&lt;&gt;F411,"YES","NO")</f>
        <v/>
      </c>
      <c r="I411" t="inlineStr"/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Transfer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Non-Deductible</t>
        </is>
      </c>
      <c r="H412">
        <f>IF(G412&lt;&gt;F412,"YES","NO")</f>
        <v/>
      </c>
      <c r="I412" t="inlineStr"/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  <c r="I413" t="inlineStr"/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Labor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COGS</t>
        </is>
      </c>
      <c r="H414">
        <f>IF(G414&lt;&gt;F414,"YES","NO")</f>
        <v/>
      </c>
      <c r="I414" t="inlineStr"/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  <c r="I415" t="inlineStr"/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Revenue</t>
        </is>
      </c>
      <c r="H416">
        <f>IF(G416&lt;&gt;F416,"YES","NO")</f>
        <v/>
      </c>
      <c r="I416" t="inlineStr"/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Revenue</t>
        </is>
      </c>
      <c r="H417">
        <f>IF(G417&lt;&gt;F417,"YES","NO")</f>
        <v/>
      </c>
      <c r="I417" t="inlineStr"/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  <c r="I418" t="inlineStr"/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Tools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Expense</t>
        </is>
      </c>
      <c r="H419">
        <f>IF(G419&lt;&gt;F419,"YES","NO")</f>
        <v/>
      </c>
      <c r="I419" t="inlineStr"/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  <c r="I420" t="inlineStr"/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  <c r="I421" t="inlineStr"/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  <c r="I422" t="inlineStr"/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Revenue</t>
        </is>
      </c>
      <c r="H423">
        <f>IF(G423&lt;&gt;F423,"YES","NO")</f>
        <v/>
      </c>
      <c r="I423" t="inlineStr"/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Revenue</t>
        </is>
      </c>
      <c r="H424">
        <f>IF(G424&lt;&gt;F424,"YES","NO")</f>
        <v/>
      </c>
      <c r="I424" t="inlineStr"/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Tools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  <c r="I425" t="inlineStr"/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  <c r="I426" t="inlineStr"/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Fuel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  <c r="I427" t="inlineStr"/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Fuel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  <c r="I428" t="inlineStr"/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Transfer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Non-Deductible</t>
        </is>
      </c>
      <c r="H429">
        <f>IF(G429&lt;&gt;F429,"YES","NO")</f>
        <v/>
      </c>
      <c r="I429" t="inlineStr"/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  <c r="I430" t="inlineStr"/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Revenue</t>
        </is>
      </c>
      <c r="H431">
        <f>IF(G431&lt;&gt;F431,"YES","NO")</f>
        <v/>
      </c>
      <c r="I431" t="inlineStr"/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  <c r="I432" t="inlineStr"/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Transfer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Non-Deductible</t>
        </is>
      </c>
      <c r="H433">
        <f>IF(G433&lt;&gt;F433,"YES","NO")</f>
        <v/>
      </c>
      <c r="I433" t="inlineStr"/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Labor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COGS</t>
        </is>
      </c>
      <c r="H434">
        <f>IF(G434&lt;&gt;F434,"YES","NO")</f>
        <v/>
      </c>
      <c r="I434" t="inlineStr"/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Labor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COGS</t>
        </is>
      </c>
      <c r="H435">
        <f>IF(G435&lt;&gt;F435,"YES","NO")</f>
        <v/>
      </c>
      <c r="I435" t="inlineStr"/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Labor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COGS</t>
        </is>
      </c>
      <c r="H436">
        <f>IF(G436&lt;&gt;F436,"YES","NO")</f>
        <v/>
      </c>
      <c r="I436" t="inlineStr"/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Insurance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  <c r="I437" t="inlineStr"/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Transfer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Non-Deductible</t>
        </is>
      </c>
      <c r="H438">
        <f>IF(G438&lt;&gt;F438,"YES","NO")</f>
        <v/>
      </c>
      <c r="I438" t="inlineStr"/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  <c r="I439" t="inlineStr"/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Fuel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  <c r="I440" t="inlineStr"/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Fuel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Expense</t>
        </is>
      </c>
      <c r="H441">
        <f>IF(G441&lt;&gt;F441,"YES","NO")</f>
        <v/>
      </c>
      <c r="I441" t="inlineStr"/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  <c r="I442" t="inlineStr"/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  <c r="I443" t="inlineStr"/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Transfer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Non-Deductible</t>
        </is>
      </c>
      <c r="H444">
        <f>IF(G444&lt;&gt;F444,"YES","NO")</f>
        <v/>
      </c>
      <c r="I444" t="inlineStr"/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Revenue</t>
        </is>
      </c>
      <c r="H445">
        <f>IF(G445&lt;&gt;F445,"YES","NO")</f>
        <v/>
      </c>
      <c r="I445" t="inlineStr"/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Tools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Expense</t>
        </is>
      </c>
      <c r="H446">
        <f>IF(G446&lt;&gt;F446,"YES","NO")</f>
        <v/>
      </c>
      <c r="I446" t="inlineStr"/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  <c r="I447" t="inlineStr"/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Labor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COGS</t>
        </is>
      </c>
      <c r="H448">
        <f>IF(G448&lt;&gt;F448,"YES","NO")</f>
        <v/>
      </c>
      <c r="I448" t="inlineStr"/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Revenue</t>
        </is>
      </c>
      <c r="H449">
        <f>IF(G449&lt;&gt;F449,"YES","NO")</f>
        <v/>
      </c>
      <c r="I449" t="inlineStr"/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  <c r="I450" t="inlineStr"/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Tools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  <c r="I451" t="inlineStr"/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  <c r="I452" t="inlineStr"/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Revenue</t>
        </is>
      </c>
      <c r="H453">
        <f>IF(G453&lt;&gt;F453,"YES","NO")</f>
        <v/>
      </c>
      <c r="I453" t="inlineStr"/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  <c r="I454" t="inlineStr"/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Tools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  <c r="I455" t="inlineStr"/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  <c r="I456" t="inlineStr"/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Insurance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  <c r="I457" t="inlineStr"/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Transfer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Non-Deductible</t>
        </is>
      </c>
      <c r="H458">
        <f>IF(G458&lt;&gt;F458,"YES","NO")</f>
        <v/>
      </c>
      <c r="I458" t="inlineStr"/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Tools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  <c r="I459" t="inlineStr"/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Non-Deductible</t>
        </is>
      </c>
      <c r="H460">
        <f>IF(G460&lt;&gt;F460,"YES","NO")</f>
        <v/>
      </c>
      <c r="I460" t="inlineStr"/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Revenue</t>
        </is>
      </c>
      <c r="H461">
        <f>IF(G461&lt;&gt;F461,"YES","NO")</f>
        <v/>
      </c>
      <c r="I461" t="inlineStr"/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Fuel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  <c r="I462" t="inlineStr"/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Fuel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  <c r="I463" t="inlineStr"/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  <c r="I464" t="inlineStr"/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Transfer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Non-Deductible</t>
        </is>
      </c>
      <c r="H465">
        <f>IF(G465&lt;&gt;F465,"YES","NO")</f>
        <v/>
      </c>
      <c r="I465" t="inlineStr"/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  <c r="I466" t="inlineStr"/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  <c r="I467" t="inlineStr"/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  <c r="I468" t="inlineStr"/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  <c r="I469" t="inlineStr"/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Labor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COGS</t>
        </is>
      </c>
      <c r="H470">
        <f>IF(G470&lt;&gt;F470,"YES","NO")</f>
        <v/>
      </c>
      <c r="I470" t="inlineStr"/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Labor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COGS</t>
        </is>
      </c>
      <c r="H471">
        <f>IF(G471&lt;&gt;F471,"YES","NO")</f>
        <v/>
      </c>
      <c r="I471" t="inlineStr"/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  <c r="I472" t="inlineStr"/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Tools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  <c r="I473" t="inlineStr"/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Transfer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Non-Deductible</t>
        </is>
      </c>
      <c r="H474">
        <f>IF(G474&lt;&gt;F474,"YES","NO")</f>
        <v/>
      </c>
      <c r="I474" t="inlineStr"/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Transfer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Non-Deductible</t>
        </is>
      </c>
      <c r="H475">
        <f>IF(G475&lt;&gt;F475,"YES","NO")</f>
        <v/>
      </c>
      <c r="I475" t="inlineStr"/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  <c r="I476" t="inlineStr"/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Transfer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Non-Deductible</t>
        </is>
      </c>
      <c r="H477">
        <f>IF(G477&lt;&gt;F477,"YES","NO")</f>
        <v/>
      </c>
      <c r="I477" t="inlineStr"/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Labor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COGS</t>
        </is>
      </c>
      <c r="H478">
        <f>IF(G478&lt;&gt;F478,"YES","NO")</f>
        <v/>
      </c>
      <c r="I478" t="inlineStr"/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Labor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COGS</t>
        </is>
      </c>
      <c r="H479">
        <f>IF(G479&lt;&gt;F479,"YES","NO")</f>
        <v/>
      </c>
      <c r="I479" t="inlineStr"/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  <c r="I480" t="inlineStr"/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  <c r="I481" t="inlineStr"/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Tools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Expense</t>
        </is>
      </c>
      <c r="H482">
        <f>IF(G482&lt;&gt;F482,"YES","NO")</f>
        <v/>
      </c>
      <c r="I482" t="inlineStr"/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  <c r="I483" t="inlineStr"/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  <c r="I484" t="inlineStr"/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Transfer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Non-Deductible</t>
        </is>
      </c>
      <c r="H485">
        <f>IF(G485&lt;&gt;F485,"YES","NO")</f>
        <v/>
      </c>
      <c r="I485" t="inlineStr"/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Transfer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  <c r="I486" t="inlineStr"/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Transfer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Non-Deductible</t>
        </is>
      </c>
      <c r="H487">
        <f>IF(G487&lt;&gt;F487,"YES","NO")</f>
        <v/>
      </c>
      <c r="I487" t="inlineStr"/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  <c r="I488" t="inlineStr"/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  <c r="I489" t="inlineStr"/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Revenue</t>
        </is>
      </c>
      <c r="H490">
        <f>IF(G490&lt;&gt;F490,"YES","NO")</f>
        <v/>
      </c>
      <c r="I490" t="inlineStr"/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  <c r="I491" t="inlineStr"/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Tools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Expense</t>
        </is>
      </c>
      <c r="H492">
        <f>IF(G492&lt;&gt;F492,"YES","NO")</f>
        <v/>
      </c>
      <c r="I492" t="inlineStr"/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Fuel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Expense</t>
        </is>
      </c>
      <c r="H493">
        <f>IF(G493&lt;&gt;F493,"YES","NO")</f>
        <v/>
      </c>
      <c r="I493" t="inlineStr"/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Fuel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Expense</t>
        </is>
      </c>
      <c r="H494">
        <f>IF(G494&lt;&gt;F494,"YES","NO")</f>
        <v/>
      </c>
      <c r="I494" t="inlineStr"/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  <c r="I495" t="inlineStr"/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Transfer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Non-Deductible</t>
        </is>
      </c>
      <c r="H496">
        <f>IF(G496&lt;&gt;F496,"YES","NO")</f>
        <v/>
      </c>
      <c r="I496" t="inlineStr"/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Transfer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Non-Deductible</t>
        </is>
      </c>
      <c r="H497">
        <f>IF(G497&lt;&gt;F497,"YES","NO")</f>
        <v/>
      </c>
      <c r="I497" t="inlineStr"/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Labor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COGS</t>
        </is>
      </c>
      <c r="H498">
        <f>IF(G498&lt;&gt;F498,"YES","NO")</f>
        <v/>
      </c>
      <c r="I498" t="inlineStr"/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  <c r="I499" t="inlineStr"/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  <c r="I500" t="inlineStr"/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  <c r="I501" t="inlineStr"/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Tools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  <c r="I502" t="inlineStr"/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Tools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  <c r="I503" t="inlineStr"/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  <c r="I504" t="inlineStr"/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  <c r="I505" t="inlineStr"/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Revenue</t>
        </is>
      </c>
      <c r="H506">
        <f>IF(G506&lt;&gt;F506,"YES","NO")</f>
        <v/>
      </c>
      <c r="I506" t="inlineStr"/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Transfer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Non-Deductible</t>
        </is>
      </c>
      <c r="H507">
        <f>IF(G507&lt;&gt;F507,"YES","NO")</f>
        <v/>
      </c>
      <c r="I507" t="inlineStr"/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Transfer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  <c r="I508" t="inlineStr"/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Labor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COGS</t>
        </is>
      </c>
      <c r="H509">
        <f>IF(G509&lt;&gt;F509,"YES","NO")</f>
        <v/>
      </c>
      <c r="I509" t="inlineStr"/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Labor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COGS</t>
        </is>
      </c>
      <c r="H510">
        <f>IF(G510&lt;&gt;F510,"YES","NO")</f>
        <v/>
      </c>
      <c r="I510" t="inlineStr"/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  <c r="I511" t="inlineStr"/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  <c r="I512" t="inlineStr"/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Tools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  <c r="I513" t="inlineStr"/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  <c r="I514" t="inlineStr"/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Tools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Expense</t>
        </is>
      </c>
      <c r="H515">
        <f>IF(G515&lt;&gt;F515,"YES","NO")</f>
        <v/>
      </c>
      <c r="I515" t="inlineStr"/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  <c r="I516" t="inlineStr"/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  <c r="I517" t="inlineStr"/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  <c r="I518" t="inlineStr"/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Tools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Expense</t>
        </is>
      </c>
      <c r="H519">
        <f>IF(G519&lt;&gt;F519,"YES","NO")</f>
        <v/>
      </c>
      <c r="I519" t="inlineStr"/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Transfer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Non-Deductible</t>
        </is>
      </c>
      <c r="H520">
        <f>IF(G520&lt;&gt;F520,"YES","NO")</f>
        <v/>
      </c>
      <c r="I520" t="inlineStr"/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Tools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Expense</t>
        </is>
      </c>
      <c r="H521">
        <f>IF(G521&lt;&gt;F521,"YES","NO")</f>
        <v/>
      </c>
      <c r="I521" t="inlineStr"/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Tools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Expense</t>
        </is>
      </c>
      <c r="H522">
        <f>IF(G522&lt;&gt;F522,"YES","NO")</f>
        <v/>
      </c>
      <c r="I522" t="inlineStr"/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Revenue</t>
        </is>
      </c>
      <c r="H523">
        <f>IF(G523&lt;&gt;F523,"YES","NO")</f>
        <v/>
      </c>
      <c r="I523" t="inlineStr"/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Insurance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  <c r="I524" t="inlineStr"/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Tools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  <c r="I525" t="inlineStr"/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  <c r="I526" t="inlineStr"/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  <c r="I527" t="inlineStr"/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  <c r="I528" t="inlineStr"/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  <c r="I529" t="inlineStr"/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  <c r="I530" t="inlineStr"/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  <c r="I531" t="inlineStr"/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  <c r="I532" t="inlineStr"/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  <c r="I533" t="inlineStr"/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  <c r="I534" t="inlineStr"/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Revenue</t>
        </is>
      </c>
      <c r="H535">
        <f>IF(G535&lt;&gt;F535,"YES","NO")</f>
        <v/>
      </c>
      <c r="I535" t="inlineStr"/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  <c r="I536" t="inlineStr"/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Tools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Expense</t>
        </is>
      </c>
      <c r="H537">
        <f>IF(G537&lt;&gt;F537,"YES","NO")</f>
        <v/>
      </c>
      <c r="I537" t="inlineStr"/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Transfer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Non-Deductible</t>
        </is>
      </c>
      <c r="H538">
        <f>IF(G538&lt;&gt;F538,"YES","NO")</f>
        <v/>
      </c>
      <c r="I538" t="inlineStr"/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Labor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COGS</t>
        </is>
      </c>
      <c r="H539">
        <f>IF(G539&lt;&gt;F539,"YES","NO")</f>
        <v/>
      </c>
      <c r="I539" t="inlineStr"/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  <c r="I540" t="inlineStr"/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Revenue</t>
        </is>
      </c>
      <c r="H541">
        <f>IF(G541&lt;&gt;F541,"YES","NO")</f>
        <v/>
      </c>
      <c r="I541" t="inlineStr"/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Non-Deductible</t>
        </is>
      </c>
      <c r="H542">
        <f>IF(G542&lt;&gt;F542,"YES","NO")</f>
        <v/>
      </c>
      <c r="I542" t="inlineStr"/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Revenue</t>
        </is>
      </c>
      <c r="H543">
        <f>IF(G543&lt;&gt;F543,"YES","NO")</f>
        <v/>
      </c>
      <c r="I543" t="inlineStr"/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Revenue</t>
        </is>
      </c>
      <c r="H544">
        <f>IF(G544&lt;&gt;F544,"YES","NO")</f>
        <v/>
      </c>
      <c r="I544" t="inlineStr"/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Revenue</t>
        </is>
      </c>
      <c r="H545">
        <f>IF(G545&lt;&gt;F545,"YES","NO")</f>
        <v/>
      </c>
      <c r="I545" t="inlineStr"/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Revenue</t>
        </is>
      </c>
      <c r="H546">
        <f>IF(G546&lt;&gt;F546,"YES","NO")</f>
        <v/>
      </c>
      <c r="I546" t="inlineStr"/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Revenue</t>
        </is>
      </c>
      <c r="H547">
        <f>IF(G547&lt;&gt;F547,"YES","NO")</f>
        <v/>
      </c>
      <c r="I547" t="inlineStr"/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Tools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Expense</t>
        </is>
      </c>
      <c r="H548">
        <f>IF(G548&lt;&gt;F548,"YES","NO")</f>
        <v/>
      </c>
      <c r="I548" t="inlineStr"/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Tools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Expense</t>
        </is>
      </c>
      <c r="H549">
        <f>IF(G549&lt;&gt;F549,"YES","NO")</f>
        <v/>
      </c>
      <c r="I549" t="inlineStr"/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  <c r="I550" t="inlineStr"/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Revenue</t>
        </is>
      </c>
      <c r="H551">
        <f>IF(G551&lt;&gt;F551,"YES","NO")</f>
        <v/>
      </c>
      <c r="I551" t="inlineStr"/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Tools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Expense</t>
        </is>
      </c>
      <c r="H552">
        <f>IF(G552&lt;&gt;F552,"YES","NO")</f>
        <v/>
      </c>
      <c r="I552" t="inlineStr"/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  <c r="I553" t="inlineStr"/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Revenue</t>
        </is>
      </c>
      <c r="H554">
        <f>IF(G554&lt;&gt;F554,"YES","NO")</f>
        <v/>
      </c>
      <c r="I554" t="inlineStr"/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Tools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  <c r="I555" t="inlineStr"/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Tools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  <c r="I556" t="inlineStr"/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Insurance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  <c r="I557" t="inlineStr"/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Tools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  <c r="I558" t="inlineStr"/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Labor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COGS</t>
        </is>
      </c>
      <c r="H559">
        <f>IF(G559&lt;&gt;F559,"YES","NO")</f>
        <v/>
      </c>
      <c r="I559" t="inlineStr"/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Revenue</t>
        </is>
      </c>
      <c r="H560">
        <f>IF(G560&lt;&gt;F560,"YES","NO")</f>
        <v/>
      </c>
      <c r="I560" t="inlineStr"/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  <c r="I561" t="inlineStr"/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Tools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Expense</t>
        </is>
      </c>
      <c r="H562">
        <f>IF(G562&lt;&gt;F562,"YES","NO")</f>
        <v/>
      </c>
      <c r="I562" t="inlineStr"/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Revenue</t>
        </is>
      </c>
      <c r="H563">
        <f>IF(G563&lt;&gt;F563,"YES","NO")</f>
        <v/>
      </c>
      <c r="I563" t="inlineStr"/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Labor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  <c r="I564" t="inlineStr"/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Labor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COGS</t>
        </is>
      </c>
      <c r="H565">
        <f>IF(G565&lt;&gt;F565,"YES","NO")</f>
        <v/>
      </c>
      <c r="I565" t="inlineStr"/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Tools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Expense</t>
        </is>
      </c>
      <c r="H566">
        <f>IF(G566&lt;&gt;F566,"YES","NO")</f>
        <v/>
      </c>
      <c r="I566" t="inlineStr"/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  <c r="I567" t="inlineStr"/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  <c r="I568" t="inlineStr"/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Tools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Expense</t>
        </is>
      </c>
      <c r="H569">
        <f>IF(G569&lt;&gt;F569,"YES","NO")</f>
        <v/>
      </c>
      <c r="I569" t="inlineStr"/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Tools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Expense</t>
        </is>
      </c>
      <c r="H570">
        <f>IF(G570&lt;&gt;F570,"YES","NO")</f>
        <v/>
      </c>
      <c r="I570" t="inlineStr"/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Revenue</t>
        </is>
      </c>
      <c r="H571">
        <f>IF(G571&lt;&gt;F571,"YES","NO")</f>
        <v/>
      </c>
      <c r="I571" t="inlineStr"/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Revenue</t>
        </is>
      </c>
      <c r="H572">
        <f>IF(G572&lt;&gt;F572,"YES","NO")</f>
        <v/>
      </c>
      <c r="I572" t="inlineStr"/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Transfer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Non-Deductible</t>
        </is>
      </c>
      <c r="H573">
        <f>IF(G573&lt;&gt;F573,"YES","NO")</f>
        <v/>
      </c>
      <c r="I573" t="inlineStr"/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Tools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Expense</t>
        </is>
      </c>
      <c r="H574">
        <f>IF(G574&lt;&gt;F574,"YES","NO")</f>
        <v/>
      </c>
      <c r="I574" t="inlineStr"/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Revenue</t>
        </is>
      </c>
      <c r="H575">
        <f>IF(G575&lt;&gt;F575,"YES","NO")</f>
        <v/>
      </c>
      <c r="I575" t="inlineStr"/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Transfer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Non-Deductible</t>
        </is>
      </c>
      <c r="H576">
        <f>IF(G576&lt;&gt;F576,"YES","NO")</f>
        <v/>
      </c>
      <c r="I576" t="inlineStr"/>
    </row>
  </sheetData>
  <conditionalFormatting sqref="A2:I2">
    <cfRule type="expression" priority="1" dxfId="0">
      <formula>$H2="YES"</formula>
    </cfRule>
  </conditionalFormatting>
  <conditionalFormatting sqref="A3:I3">
    <cfRule type="expression" priority="2" dxfId="0">
      <formula>$H3="YES"</formula>
    </cfRule>
  </conditionalFormatting>
  <conditionalFormatting sqref="A4:I4">
    <cfRule type="expression" priority="3" dxfId="0">
      <formula>$H4="YES"</formula>
    </cfRule>
  </conditionalFormatting>
  <conditionalFormatting sqref="A5:I5">
    <cfRule type="expression" priority="4" dxfId="0">
      <formula>$H5="YES"</formula>
    </cfRule>
  </conditionalFormatting>
  <conditionalFormatting sqref="A6:I6">
    <cfRule type="expression" priority="5" dxfId="0">
      <formula>$H6="YES"</formula>
    </cfRule>
  </conditionalFormatting>
  <conditionalFormatting sqref="A7:I7">
    <cfRule type="expression" priority="6" dxfId="0">
      <formula>$H7="YES"</formula>
    </cfRule>
  </conditionalFormatting>
  <conditionalFormatting sqref="A8:I8">
    <cfRule type="expression" priority="7" dxfId="0">
      <formula>$H8="YES"</formula>
    </cfRule>
  </conditionalFormatting>
  <conditionalFormatting sqref="A9:I9">
    <cfRule type="expression" priority="8" dxfId="0">
      <formula>$H9="YES"</formula>
    </cfRule>
  </conditionalFormatting>
  <conditionalFormatting sqref="A10:I10">
    <cfRule type="expression" priority="9" dxfId="0">
      <formula>$H10="YES"</formula>
    </cfRule>
  </conditionalFormatting>
  <conditionalFormatting sqref="A11:I11">
    <cfRule type="expression" priority="10" dxfId="0">
      <formula>$H11="YES"</formula>
    </cfRule>
  </conditionalFormatting>
  <conditionalFormatting sqref="A12:I12">
    <cfRule type="expression" priority="11" dxfId="0">
      <formula>$H12="YES"</formula>
    </cfRule>
  </conditionalFormatting>
  <conditionalFormatting sqref="A13:I13">
    <cfRule type="expression" priority="12" dxfId="0">
      <formula>$H13="YES"</formula>
    </cfRule>
  </conditionalFormatting>
  <conditionalFormatting sqref="A14:I14">
    <cfRule type="expression" priority="13" dxfId="0">
      <formula>$H14="YES"</formula>
    </cfRule>
  </conditionalFormatting>
  <conditionalFormatting sqref="A15:I15">
    <cfRule type="expression" priority="14" dxfId="0">
      <formula>$H15="YES"</formula>
    </cfRule>
  </conditionalFormatting>
  <conditionalFormatting sqref="A16:I16">
    <cfRule type="expression" priority="15" dxfId="0">
      <formula>$H16="YES"</formula>
    </cfRule>
  </conditionalFormatting>
  <conditionalFormatting sqref="A17:I17">
    <cfRule type="expression" priority="16" dxfId="0">
      <formula>$H17="YES"</formula>
    </cfRule>
  </conditionalFormatting>
  <conditionalFormatting sqref="A18:I18">
    <cfRule type="expression" priority="17" dxfId="0">
      <formula>$H18="YES"</formula>
    </cfRule>
  </conditionalFormatting>
  <conditionalFormatting sqref="A19:I19">
    <cfRule type="expression" priority="18" dxfId="0">
      <formula>$H19="YES"</formula>
    </cfRule>
  </conditionalFormatting>
  <conditionalFormatting sqref="A20:I20">
    <cfRule type="expression" priority="19" dxfId="0">
      <formula>$H20="YES"</formula>
    </cfRule>
  </conditionalFormatting>
  <conditionalFormatting sqref="A21:I21">
    <cfRule type="expression" priority="20" dxfId="0">
      <formula>$H21="YES"</formula>
    </cfRule>
  </conditionalFormatting>
  <conditionalFormatting sqref="A22:I22">
    <cfRule type="expression" priority="21" dxfId="0">
      <formula>$H22="YES"</formula>
    </cfRule>
  </conditionalFormatting>
  <conditionalFormatting sqref="A23:I23">
    <cfRule type="expression" priority="22" dxfId="0">
      <formula>$H23="YES"</formula>
    </cfRule>
  </conditionalFormatting>
  <conditionalFormatting sqref="A24:I24">
    <cfRule type="expression" priority="23" dxfId="0">
      <formula>$H24="YES"</formula>
    </cfRule>
  </conditionalFormatting>
  <conditionalFormatting sqref="A25:I25">
    <cfRule type="expression" priority="24" dxfId="0">
      <formula>$H25="YES"</formula>
    </cfRule>
  </conditionalFormatting>
  <conditionalFormatting sqref="A26:I26">
    <cfRule type="expression" priority="25" dxfId="0">
      <formula>$H26="YES"</formula>
    </cfRule>
  </conditionalFormatting>
  <conditionalFormatting sqref="A27:I27">
    <cfRule type="expression" priority="26" dxfId="0">
      <formula>$H27="YES"</formula>
    </cfRule>
  </conditionalFormatting>
  <conditionalFormatting sqref="A28:I28">
    <cfRule type="expression" priority="27" dxfId="0">
      <formula>$H28="YES"</formula>
    </cfRule>
  </conditionalFormatting>
  <conditionalFormatting sqref="A29:I29">
    <cfRule type="expression" priority="28" dxfId="0">
      <formula>$H29="YES"</formula>
    </cfRule>
  </conditionalFormatting>
  <conditionalFormatting sqref="A30:I30">
    <cfRule type="expression" priority="29" dxfId="0">
      <formula>$H30="YES"</formula>
    </cfRule>
  </conditionalFormatting>
  <conditionalFormatting sqref="A31:I31">
    <cfRule type="expression" priority="30" dxfId="0">
      <formula>$H31="YES"</formula>
    </cfRule>
  </conditionalFormatting>
  <conditionalFormatting sqref="A32:I32">
    <cfRule type="expression" priority="31" dxfId="0">
      <formula>$H32="YES"</formula>
    </cfRule>
  </conditionalFormatting>
  <conditionalFormatting sqref="A33:I33">
    <cfRule type="expression" priority="32" dxfId="0">
      <formula>$H33="YES"</formula>
    </cfRule>
  </conditionalFormatting>
  <conditionalFormatting sqref="A34:I34">
    <cfRule type="expression" priority="33" dxfId="0">
      <formula>$H34="YES"</formula>
    </cfRule>
  </conditionalFormatting>
  <conditionalFormatting sqref="A35:I35">
    <cfRule type="expression" priority="34" dxfId="0">
      <formula>$H35="YES"</formula>
    </cfRule>
  </conditionalFormatting>
  <conditionalFormatting sqref="A36:I36">
    <cfRule type="expression" priority="35" dxfId="0">
      <formula>$H36="YES"</formula>
    </cfRule>
  </conditionalFormatting>
  <conditionalFormatting sqref="A37:I37">
    <cfRule type="expression" priority="36" dxfId="0">
      <formula>$H37="YES"</formula>
    </cfRule>
  </conditionalFormatting>
  <conditionalFormatting sqref="A38:I38">
    <cfRule type="expression" priority="37" dxfId="0">
      <formula>$H38="YES"</formula>
    </cfRule>
  </conditionalFormatting>
  <conditionalFormatting sqref="A39:I39">
    <cfRule type="expression" priority="38" dxfId="0">
      <formula>$H39="YES"</formula>
    </cfRule>
  </conditionalFormatting>
  <conditionalFormatting sqref="A40:I40">
    <cfRule type="expression" priority="39" dxfId="0">
      <formula>$H40="YES"</formula>
    </cfRule>
  </conditionalFormatting>
  <conditionalFormatting sqref="A41:I41">
    <cfRule type="expression" priority="40" dxfId="0">
      <formula>$H41="YES"</formula>
    </cfRule>
  </conditionalFormatting>
  <conditionalFormatting sqref="A42:I42">
    <cfRule type="expression" priority="41" dxfId="0">
      <formula>$H42="YES"</formula>
    </cfRule>
  </conditionalFormatting>
  <conditionalFormatting sqref="A43:I43">
    <cfRule type="expression" priority="42" dxfId="0">
      <formula>$H43="YES"</formula>
    </cfRule>
  </conditionalFormatting>
  <conditionalFormatting sqref="A44:I44">
    <cfRule type="expression" priority="43" dxfId="0">
      <formula>$H44="YES"</formula>
    </cfRule>
  </conditionalFormatting>
  <conditionalFormatting sqref="A45:I45">
    <cfRule type="expression" priority="44" dxfId="0">
      <formula>$H45="YES"</formula>
    </cfRule>
  </conditionalFormatting>
  <conditionalFormatting sqref="A46:I46">
    <cfRule type="expression" priority="45" dxfId="0">
      <formula>$H46="YES"</formula>
    </cfRule>
  </conditionalFormatting>
  <conditionalFormatting sqref="A47:I47">
    <cfRule type="expression" priority="46" dxfId="0">
      <formula>$H47="YES"</formula>
    </cfRule>
  </conditionalFormatting>
  <conditionalFormatting sqref="A48:I48">
    <cfRule type="expression" priority="47" dxfId="0">
      <formula>$H48="YES"</formula>
    </cfRule>
  </conditionalFormatting>
  <conditionalFormatting sqref="A49:I49">
    <cfRule type="expression" priority="48" dxfId="0">
      <formula>$H49="YES"</formula>
    </cfRule>
  </conditionalFormatting>
  <conditionalFormatting sqref="A50:I50">
    <cfRule type="expression" priority="49" dxfId="0">
      <formula>$H50="YES"</formula>
    </cfRule>
  </conditionalFormatting>
  <conditionalFormatting sqref="A51:I51">
    <cfRule type="expression" priority="50" dxfId="0">
      <formula>$H51="YES"</formula>
    </cfRule>
  </conditionalFormatting>
  <conditionalFormatting sqref="A52:I52">
    <cfRule type="expression" priority="51" dxfId="0">
      <formula>$H52="YES"</formula>
    </cfRule>
  </conditionalFormatting>
  <conditionalFormatting sqref="A53:I53">
    <cfRule type="expression" priority="52" dxfId="0">
      <formula>$H53="YES"</formula>
    </cfRule>
  </conditionalFormatting>
  <conditionalFormatting sqref="A54:I54">
    <cfRule type="expression" priority="53" dxfId="0">
      <formula>$H54="YES"</formula>
    </cfRule>
  </conditionalFormatting>
  <conditionalFormatting sqref="A55:I55">
    <cfRule type="expression" priority="54" dxfId="0">
      <formula>$H55="YES"</formula>
    </cfRule>
  </conditionalFormatting>
  <conditionalFormatting sqref="A56:I56">
    <cfRule type="expression" priority="55" dxfId="0">
      <formula>$H56="YES"</formula>
    </cfRule>
  </conditionalFormatting>
  <conditionalFormatting sqref="A57:I57">
    <cfRule type="expression" priority="56" dxfId="0">
      <formula>$H57="YES"</formula>
    </cfRule>
  </conditionalFormatting>
  <conditionalFormatting sqref="A58:I58">
    <cfRule type="expression" priority="57" dxfId="0">
      <formula>$H58="YES"</formula>
    </cfRule>
  </conditionalFormatting>
  <conditionalFormatting sqref="A59:I59">
    <cfRule type="expression" priority="58" dxfId="0">
      <formula>$H59="YES"</formula>
    </cfRule>
  </conditionalFormatting>
  <conditionalFormatting sqref="A60:I60">
    <cfRule type="expression" priority="59" dxfId="0">
      <formula>$H60="YES"</formula>
    </cfRule>
  </conditionalFormatting>
  <conditionalFormatting sqref="A61:I61">
    <cfRule type="expression" priority="60" dxfId="0">
      <formula>$H61="YES"</formula>
    </cfRule>
  </conditionalFormatting>
  <conditionalFormatting sqref="A62:I62">
    <cfRule type="expression" priority="61" dxfId="0">
      <formula>$H62="YES"</formula>
    </cfRule>
  </conditionalFormatting>
  <conditionalFormatting sqref="A63:I63">
    <cfRule type="expression" priority="62" dxfId="0">
      <formula>$H63="YES"</formula>
    </cfRule>
  </conditionalFormatting>
  <conditionalFormatting sqref="A64:I64">
    <cfRule type="expression" priority="63" dxfId="0">
      <formula>$H64="YES"</formula>
    </cfRule>
  </conditionalFormatting>
  <conditionalFormatting sqref="A65:I65">
    <cfRule type="expression" priority="64" dxfId="0">
      <formula>$H65="YES"</formula>
    </cfRule>
  </conditionalFormatting>
  <conditionalFormatting sqref="A66:I66">
    <cfRule type="expression" priority="65" dxfId="0">
      <formula>$H66="YES"</formula>
    </cfRule>
  </conditionalFormatting>
  <conditionalFormatting sqref="A67:I67">
    <cfRule type="expression" priority="66" dxfId="0">
      <formula>$H67="YES"</formula>
    </cfRule>
  </conditionalFormatting>
  <conditionalFormatting sqref="A68:I68">
    <cfRule type="expression" priority="67" dxfId="0">
      <formula>$H68="YES"</formula>
    </cfRule>
  </conditionalFormatting>
  <conditionalFormatting sqref="A69:I69">
    <cfRule type="expression" priority="68" dxfId="0">
      <formula>$H69="YES"</formula>
    </cfRule>
  </conditionalFormatting>
  <conditionalFormatting sqref="A70:I70">
    <cfRule type="expression" priority="69" dxfId="0">
      <formula>$H70="YES"</formula>
    </cfRule>
  </conditionalFormatting>
  <conditionalFormatting sqref="A71:I71">
    <cfRule type="expression" priority="70" dxfId="0">
      <formula>$H71="YES"</formula>
    </cfRule>
  </conditionalFormatting>
  <conditionalFormatting sqref="A72:I72">
    <cfRule type="expression" priority="71" dxfId="0">
      <formula>$H72="YES"</formula>
    </cfRule>
  </conditionalFormatting>
  <conditionalFormatting sqref="A73:I73">
    <cfRule type="expression" priority="72" dxfId="0">
      <formula>$H73="YES"</formula>
    </cfRule>
  </conditionalFormatting>
  <conditionalFormatting sqref="A74:I74">
    <cfRule type="expression" priority="73" dxfId="0">
      <formula>$H74="YES"</formula>
    </cfRule>
  </conditionalFormatting>
  <conditionalFormatting sqref="A75:I75">
    <cfRule type="expression" priority="74" dxfId="0">
      <formula>$H75="YES"</formula>
    </cfRule>
  </conditionalFormatting>
  <conditionalFormatting sqref="A76:I76">
    <cfRule type="expression" priority="75" dxfId="0">
      <formula>$H76="YES"</formula>
    </cfRule>
  </conditionalFormatting>
  <conditionalFormatting sqref="A77:I77">
    <cfRule type="expression" priority="76" dxfId="0">
      <formula>$H77="YES"</formula>
    </cfRule>
  </conditionalFormatting>
  <conditionalFormatting sqref="A78:I78">
    <cfRule type="expression" priority="77" dxfId="0">
      <formula>$H78="YES"</formula>
    </cfRule>
  </conditionalFormatting>
  <conditionalFormatting sqref="A79:I79">
    <cfRule type="expression" priority="78" dxfId="0">
      <formula>$H79="YES"</formula>
    </cfRule>
  </conditionalFormatting>
  <conditionalFormatting sqref="A80:I80">
    <cfRule type="expression" priority="79" dxfId="0">
      <formula>$H80="YES"</formula>
    </cfRule>
  </conditionalFormatting>
  <conditionalFormatting sqref="A81:I81">
    <cfRule type="expression" priority="80" dxfId="0">
      <formula>$H81="YES"</formula>
    </cfRule>
  </conditionalFormatting>
  <conditionalFormatting sqref="A82:I82">
    <cfRule type="expression" priority="81" dxfId="0">
      <formula>$H82="YES"</formula>
    </cfRule>
  </conditionalFormatting>
  <conditionalFormatting sqref="A83:I83">
    <cfRule type="expression" priority="82" dxfId="0">
      <formula>$H83="YES"</formula>
    </cfRule>
  </conditionalFormatting>
  <conditionalFormatting sqref="A84:I84">
    <cfRule type="expression" priority="83" dxfId="0">
      <formula>$H84="YES"</formula>
    </cfRule>
  </conditionalFormatting>
  <conditionalFormatting sqref="A85:I85">
    <cfRule type="expression" priority="84" dxfId="0">
      <formula>$H85="YES"</formula>
    </cfRule>
  </conditionalFormatting>
  <conditionalFormatting sqref="A86:I86">
    <cfRule type="expression" priority="85" dxfId="0">
      <formula>$H86="YES"</formula>
    </cfRule>
  </conditionalFormatting>
  <conditionalFormatting sqref="A87:I87">
    <cfRule type="expression" priority="86" dxfId="0">
      <formula>$H87="YES"</formula>
    </cfRule>
  </conditionalFormatting>
  <conditionalFormatting sqref="A88:I88">
    <cfRule type="expression" priority="87" dxfId="0">
      <formula>$H88="YES"</formula>
    </cfRule>
  </conditionalFormatting>
  <conditionalFormatting sqref="A89:I89">
    <cfRule type="expression" priority="88" dxfId="0">
      <formula>$H89="YES"</formula>
    </cfRule>
  </conditionalFormatting>
  <conditionalFormatting sqref="A90:I90">
    <cfRule type="expression" priority="89" dxfId="0">
      <formula>$H90="YES"</formula>
    </cfRule>
  </conditionalFormatting>
  <conditionalFormatting sqref="A91:I91">
    <cfRule type="expression" priority="90" dxfId="0">
      <formula>$H91="YES"</formula>
    </cfRule>
  </conditionalFormatting>
  <conditionalFormatting sqref="A92:I92">
    <cfRule type="expression" priority="91" dxfId="0">
      <formula>$H92="YES"</formula>
    </cfRule>
  </conditionalFormatting>
  <conditionalFormatting sqref="A93:I93">
    <cfRule type="expression" priority="92" dxfId="0">
      <formula>$H93="YES"</formula>
    </cfRule>
  </conditionalFormatting>
  <conditionalFormatting sqref="A94:I94">
    <cfRule type="expression" priority="93" dxfId="0">
      <formula>$H94="YES"</formula>
    </cfRule>
  </conditionalFormatting>
  <conditionalFormatting sqref="A95:I95">
    <cfRule type="expression" priority="94" dxfId="0">
      <formula>$H95="YES"</formula>
    </cfRule>
  </conditionalFormatting>
  <conditionalFormatting sqref="A96:I96">
    <cfRule type="expression" priority="95" dxfId="0">
      <formula>$H96="YES"</formula>
    </cfRule>
  </conditionalFormatting>
  <conditionalFormatting sqref="A97:I97">
    <cfRule type="expression" priority="96" dxfId="0">
      <formula>$H97="YES"</formula>
    </cfRule>
  </conditionalFormatting>
  <conditionalFormatting sqref="A98:I98">
    <cfRule type="expression" priority="97" dxfId="0">
      <formula>$H98="YES"</formula>
    </cfRule>
  </conditionalFormatting>
  <conditionalFormatting sqref="A99:I99">
    <cfRule type="expression" priority="98" dxfId="0">
      <formula>$H99="YES"</formula>
    </cfRule>
  </conditionalFormatting>
  <conditionalFormatting sqref="A100:I100">
    <cfRule type="expression" priority="99" dxfId="0">
      <formula>$H100="YES"</formula>
    </cfRule>
  </conditionalFormatting>
  <conditionalFormatting sqref="A101:I101">
    <cfRule type="expression" priority="100" dxfId="0">
      <formula>$H101="YES"</formula>
    </cfRule>
  </conditionalFormatting>
  <conditionalFormatting sqref="A102:I102">
    <cfRule type="expression" priority="101" dxfId="0">
      <formula>$H102="YES"</formula>
    </cfRule>
  </conditionalFormatting>
  <conditionalFormatting sqref="A103:I103">
    <cfRule type="expression" priority="102" dxfId="0">
      <formula>$H103="YES"</formula>
    </cfRule>
  </conditionalFormatting>
  <conditionalFormatting sqref="A104:I104">
    <cfRule type="expression" priority="103" dxfId="0">
      <formula>$H104="YES"</formula>
    </cfRule>
  </conditionalFormatting>
  <conditionalFormatting sqref="A105:I105">
    <cfRule type="expression" priority="104" dxfId="0">
      <formula>$H105="YES"</formula>
    </cfRule>
  </conditionalFormatting>
  <conditionalFormatting sqref="A106:I106">
    <cfRule type="expression" priority="105" dxfId="0">
      <formula>$H106="YES"</formula>
    </cfRule>
  </conditionalFormatting>
  <conditionalFormatting sqref="A107:I107">
    <cfRule type="expression" priority="106" dxfId="0">
      <formula>$H107="YES"</formula>
    </cfRule>
  </conditionalFormatting>
  <conditionalFormatting sqref="A108:I108">
    <cfRule type="expression" priority="107" dxfId="0">
      <formula>$H108="YES"</formula>
    </cfRule>
  </conditionalFormatting>
  <conditionalFormatting sqref="A109:I109">
    <cfRule type="expression" priority="108" dxfId="0">
      <formula>$H109="YES"</formula>
    </cfRule>
  </conditionalFormatting>
  <conditionalFormatting sqref="A110:I110">
    <cfRule type="expression" priority="109" dxfId="0">
      <formula>$H110="YES"</formula>
    </cfRule>
  </conditionalFormatting>
  <conditionalFormatting sqref="A111:I111">
    <cfRule type="expression" priority="110" dxfId="0">
      <formula>$H111="YES"</formula>
    </cfRule>
  </conditionalFormatting>
  <conditionalFormatting sqref="A112:I112">
    <cfRule type="expression" priority="111" dxfId="0">
      <formula>$H112="YES"</formula>
    </cfRule>
  </conditionalFormatting>
  <conditionalFormatting sqref="A113:I113">
    <cfRule type="expression" priority="112" dxfId="0">
      <formula>$H113="YES"</formula>
    </cfRule>
  </conditionalFormatting>
  <conditionalFormatting sqref="A114:I114">
    <cfRule type="expression" priority="113" dxfId="0">
      <formula>$H114="YES"</formula>
    </cfRule>
  </conditionalFormatting>
  <conditionalFormatting sqref="A115:I115">
    <cfRule type="expression" priority="114" dxfId="0">
      <formula>$H115="YES"</formula>
    </cfRule>
  </conditionalFormatting>
  <conditionalFormatting sqref="A116:I116">
    <cfRule type="expression" priority="115" dxfId="0">
      <formula>$H116="YES"</formula>
    </cfRule>
  </conditionalFormatting>
  <conditionalFormatting sqref="A117:I117">
    <cfRule type="expression" priority="116" dxfId="0">
      <formula>$H117="YES"</formula>
    </cfRule>
  </conditionalFormatting>
  <conditionalFormatting sqref="A118:I118">
    <cfRule type="expression" priority="117" dxfId="0">
      <formula>$H118="YES"</formula>
    </cfRule>
  </conditionalFormatting>
  <conditionalFormatting sqref="A119:I119">
    <cfRule type="expression" priority="118" dxfId="0">
      <formula>$H119="YES"</formula>
    </cfRule>
  </conditionalFormatting>
  <conditionalFormatting sqref="A120:I120">
    <cfRule type="expression" priority="119" dxfId="0">
      <formula>$H120="YES"</formula>
    </cfRule>
  </conditionalFormatting>
  <conditionalFormatting sqref="A121:I121">
    <cfRule type="expression" priority="120" dxfId="0">
      <formula>$H121="YES"</formula>
    </cfRule>
  </conditionalFormatting>
  <conditionalFormatting sqref="A122:I122">
    <cfRule type="expression" priority="121" dxfId="0">
      <formula>$H122="YES"</formula>
    </cfRule>
  </conditionalFormatting>
  <conditionalFormatting sqref="A123:I123">
    <cfRule type="expression" priority="122" dxfId="0">
      <formula>$H123="YES"</formula>
    </cfRule>
  </conditionalFormatting>
  <conditionalFormatting sqref="A124:I124">
    <cfRule type="expression" priority="123" dxfId="0">
      <formula>$H124="YES"</formula>
    </cfRule>
  </conditionalFormatting>
  <conditionalFormatting sqref="A125:I125">
    <cfRule type="expression" priority="124" dxfId="0">
      <formula>$H125="YES"</formula>
    </cfRule>
  </conditionalFormatting>
  <conditionalFormatting sqref="A126:I126">
    <cfRule type="expression" priority="125" dxfId="0">
      <formula>$H126="YES"</formula>
    </cfRule>
  </conditionalFormatting>
  <conditionalFormatting sqref="A127:I127">
    <cfRule type="expression" priority="126" dxfId="0">
      <formula>$H127="YES"</formula>
    </cfRule>
  </conditionalFormatting>
  <conditionalFormatting sqref="A128:I128">
    <cfRule type="expression" priority="127" dxfId="0">
      <formula>$H128="YES"</formula>
    </cfRule>
  </conditionalFormatting>
  <conditionalFormatting sqref="A129:I129">
    <cfRule type="expression" priority="128" dxfId="0">
      <formula>$H129="YES"</formula>
    </cfRule>
  </conditionalFormatting>
  <conditionalFormatting sqref="A130:I130">
    <cfRule type="expression" priority="129" dxfId="0">
      <formula>$H130="YES"</formula>
    </cfRule>
  </conditionalFormatting>
  <conditionalFormatting sqref="A131:I131">
    <cfRule type="expression" priority="130" dxfId="0">
      <formula>$H131="YES"</formula>
    </cfRule>
  </conditionalFormatting>
  <conditionalFormatting sqref="A132:I132">
    <cfRule type="expression" priority="131" dxfId="0">
      <formula>$H132="YES"</formula>
    </cfRule>
  </conditionalFormatting>
  <conditionalFormatting sqref="A133:I133">
    <cfRule type="expression" priority="132" dxfId="0">
      <formula>$H133="YES"</formula>
    </cfRule>
  </conditionalFormatting>
  <conditionalFormatting sqref="A134:I134">
    <cfRule type="expression" priority="133" dxfId="0">
      <formula>$H134="YES"</formula>
    </cfRule>
  </conditionalFormatting>
  <conditionalFormatting sqref="A135:I135">
    <cfRule type="expression" priority="134" dxfId="0">
      <formula>$H135="YES"</formula>
    </cfRule>
  </conditionalFormatting>
  <conditionalFormatting sqref="A136:I136">
    <cfRule type="expression" priority="135" dxfId="0">
      <formula>$H136="YES"</formula>
    </cfRule>
  </conditionalFormatting>
  <conditionalFormatting sqref="A137:I137">
    <cfRule type="expression" priority="136" dxfId="0">
      <formula>$H137="YES"</formula>
    </cfRule>
  </conditionalFormatting>
  <conditionalFormatting sqref="A138:I138">
    <cfRule type="expression" priority="137" dxfId="0">
      <formula>$H138="YES"</formula>
    </cfRule>
  </conditionalFormatting>
  <conditionalFormatting sqref="A139:I139">
    <cfRule type="expression" priority="138" dxfId="0">
      <formula>$H139="YES"</formula>
    </cfRule>
  </conditionalFormatting>
  <conditionalFormatting sqref="A140:I140">
    <cfRule type="expression" priority="139" dxfId="0">
      <formula>$H140="YES"</formula>
    </cfRule>
  </conditionalFormatting>
  <conditionalFormatting sqref="A141:I141">
    <cfRule type="expression" priority="140" dxfId="0">
      <formula>$H141="YES"</formula>
    </cfRule>
  </conditionalFormatting>
  <conditionalFormatting sqref="A142:I142">
    <cfRule type="expression" priority="141" dxfId="0">
      <formula>$H142="YES"</formula>
    </cfRule>
  </conditionalFormatting>
  <conditionalFormatting sqref="A143:I143">
    <cfRule type="expression" priority="142" dxfId="0">
      <formula>$H143="YES"</formula>
    </cfRule>
  </conditionalFormatting>
  <conditionalFormatting sqref="A144:I144">
    <cfRule type="expression" priority="143" dxfId="0">
      <formula>$H144="YES"</formula>
    </cfRule>
  </conditionalFormatting>
  <conditionalFormatting sqref="A145:I145">
    <cfRule type="expression" priority="144" dxfId="0">
      <formula>$H145="YES"</formula>
    </cfRule>
  </conditionalFormatting>
  <conditionalFormatting sqref="A146:I146">
    <cfRule type="expression" priority="145" dxfId="0">
      <formula>$H146="YES"</formula>
    </cfRule>
  </conditionalFormatting>
  <conditionalFormatting sqref="A147:I147">
    <cfRule type="expression" priority="146" dxfId="0">
      <formula>$H147="YES"</formula>
    </cfRule>
  </conditionalFormatting>
  <conditionalFormatting sqref="A148:I148">
    <cfRule type="expression" priority="147" dxfId="0">
      <formula>$H148="YES"</formula>
    </cfRule>
  </conditionalFormatting>
  <conditionalFormatting sqref="A149:I149">
    <cfRule type="expression" priority="148" dxfId="0">
      <formula>$H149="YES"</formula>
    </cfRule>
  </conditionalFormatting>
  <conditionalFormatting sqref="A150:I150">
    <cfRule type="expression" priority="149" dxfId="0">
      <formula>$H150="YES"</formula>
    </cfRule>
  </conditionalFormatting>
  <conditionalFormatting sqref="A151:I151">
    <cfRule type="expression" priority="150" dxfId="0">
      <formula>$H151="YES"</formula>
    </cfRule>
  </conditionalFormatting>
  <conditionalFormatting sqref="A152:I152">
    <cfRule type="expression" priority="151" dxfId="0">
      <formula>$H152="YES"</formula>
    </cfRule>
  </conditionalFormatting>
  <conditionalFormatting sqref="A153:I153">
    <cfRule type="expression" priority="152" dxfId="0">
      <formula>$H153="YES"</formula>
    </cfRule>
  </conditionalFormatting>
  <conditionalFormatting sqref="A154:I154">
    <cfRule type="expression" priority="153" dxfId="0">
      <formula>$H154="YES"</formula>
    </cfRule>
  </conditionalFormatting>
  <conditionalFormatting sqref="A155:I155">
    <cfRule type="expression" priority="154" dxfId="0">
      <formula>$H155="YES"</formula>
    </cfRule>
  </conditionalFormatting>
  <conditionalFormatting sqref="A156:I156">
    <cfRule type="expression" priority="155" dxfId="0">
      <formula>$H156="YES"</formula>
    </cfRule>
  </conditionalFormatting>
  <conditionalFormatting sqref="A157:I157">
    <cfRule type="expression" priority="156" dxfId="0">
      <formula>$H157="YES"</formula>
    </cfRule>
  </conditionalFormatting>
  <conditionalFormatting sqref="A158:I158">
    <cfRule type="expression" priority="157" dxfId="0">
      <formula>$H158="YES"</formula>
    </cfRule>
  </conditionalFormatting>
  <conditionalFormatting sqref="A159:I159">
    <cfRule type="expression" priority="158" dxfId="0">
      <formula>$H159="YES"</formula>
    </cfRule>
  </conditionalFormatting>
  <conditionalFormatting sqref="A160:I160">
    <cfRule type="expression" priority="159" dxfId="0">
      <formula>$H160="YES"</formula>
    </cfRule>
  </conditionalFormatting>
  <conditionalFormatting sqref="A161:I161">
    <cfRule type="expression" priority="160" dxfId="0">
      <formula>$H161="YES"</formula>
    </cfRule>
  </conditionalFormatting>
  <conditionalFormatting sqref="A162:I162">
    <cfRule type="expression" priority="161" dxfId="0">
      <formula>$H162="YES"</formula>
    </cfRule>
  </conditionalFormatting>
  <conditionalFormatting sqref="A163:I163">
    <cfRule type="expression" priority="162" dxfId="0">
      <formula>$H163="YES"</formula>
    </cfRule>
  </conditionalFormatting>
  <conditionalFormatting sqref="A164:I164">
    <cfRule type="expression" priority="163" dxfId="0">
      <formula>$H164="YES"</formula>
    </cfRule>
  </conditionalFormatting>
  <conditionalFormatting sqref="A165:I165">
    <cfRule type="expression" priority="164" dxfId="0">
      <formula>$H165="YES"</formula>
    </cfRule>
  </conditionalFormatting>
  <conditionalFormatting sqref="A166:I166">
    <cfRule type="expression" priority="165" dxfId="0">
      <formula>$H166="YES"</formula>
    </cfRule>
  </conditionalFormatting>
  <conditionalFormatting sqref="A167:I167">
    <cfRule type="expression" priority="166" dxfId="0">
      <formula>$H167="YES"</formula>
    </cfRule>
  </conditionalFormatting>
  <conditionalFormatting sqref="A168:I168">
    <cfRule type="expression" priority="167" dxfId="0">
      <formula>$H168="YES"</formula>
    </cfRule>
  </conditionalFormatting>
  <conditionalFormatting sqref="A169:I169">
    <cfRule type="expression" priority="168" dxfId="0">
      <formula>$H169="YES"</formula>
    </cfRule>
  </conditionalFormatting>
  <conditionalFormatting sqref="A170:I170">
    <cfRule type="expression" priority="169" dxfId="0">
      <formula>$H170="YES"</formula>
    </cfRule>
  </conditionalFormatting>
  <conditionalFormatting sqref="A171:I171">
    <cfRule type="expression" priority="170" dxfId="0">
      <formula>$H171="YES"</formula>
    </cfRule>
  </conditionalFormatting>
  <conditionalFormatting sqref="A172:I172">
    <cfRule type="expression" priority="171" dxfId="0">
      <formula>$H172="YES"</formula>
    </cfRule>
  </conditionalFormatting>
  <conditionalFormatting sqref="A173:I173">
    <cfRule type="expression" priority="172" dxfId="0">
      <formula>$H173="YES"</formula>
    </cfRule>
  </conditionalFormatting>
  <conditionalFormatting sqref="A174:I174">
    <cfRule type="expression" priority="173" dxfId="0">
      <formula>$H174="YES"</formula>
    </cfRule>
  </conditionalFormatting>
  <conditionalFormatting sqref="A175:I175">
    <cfRule type="expression" priority="174" dxfId="0">
      <formula>$H175="YES"</formula>
    </cfRule>
  </conditionalFormatting>
  <conditionalFormatting sqref="A176:I176">
    <cfRule type="expression" priority="175" dxfId="0">
      <formula>$H176="YES"</formula>
    </cfRule>
  </conditionalFormatting>
  <conditionalFormatting sqref="A177:I177">
    <cfRule type="expression" priority="176" dxfId="0">
      <formula>$H177="YES"</formula>
    </cfRule>
  </conditionalFormatting>
  <conditionalFormatting sqref="A178:I178">
    <cfRule type="expression" priority="177" dxfId="0">
      <formula>$H178="YES"</formula>
    </cfRule>
  </conditionalFormatting>
  <conditionalFormatting sqref="A179:I179">
    <cfRule type="expression" priority="178" dxfId="0">
      <formula>$H179="YES"</formula>
    </cfRule>
  </conditionalFormatting>
  <conditionalFormatting sqref="A180:I180">
    <cfRule type="expression" priority="179" dxfId="0">
      <formula>$H180="YES"</formula>
    </cfRule>
  </conditionalFormatting>
  <conditionalFormatting sqref="A181:I181">
    <cfRule type="expression" priority="180" dxfId="0">
      <formula>$H181="YES"</formula>
    </cfRule>
  </conditionalFormatting>
  <conditionalFormatting sqref="A182:I182">
    <cfRule type="expression" priority="181" dxfId="0">
      <formula>$H182="YES"</formula>
    </cfRule>
  </conditionalFormatting>
  <conditionalFormatting sqref="A183:I183">
    <cfRule type="expression" priority="182" dxfId="0">
      <formula>$H183="YES"</formula>
    </cfRule>
  </conditionalFormatting>
  <conditionalFormatting sqref="A184:I184">
    <cfRule type="expression" priority="183" dxfId="0">
      <formula>$H184="YES"</formula>
    </cfRule>
  </conditionalFormatting>
  <conditionalFormatting sqref="A185:I185">
    <cfRule type="expression" priority="184" dxfId="0">
      <formula>$H185="YES"</formula>
    </cfRule>
  </conditionalFormatting>
  <conditionalFormatting sqref="A186:I186">
    <cfRule type="expression" priority="185" dxfId="0">
      <formula>$H186="YES"</formula>
    </cfRule>
  </conditionalFormatting>
  <conditionalFormatting sqref="A187:I187">
    <cfRule type="expression" priority="186" dxfId="0">
      <formula>$H187="YES"</formula>
    </cfRule>
  </conditionalFormatting>
  <conditionalFormatting sqref="A188:I188">
    <cfRule type="expression" priority="187" dxfId="0">
      <formula>$H188="YES"</formula>
    </cfRule>
  </conditionalFormatting>
  <conditionalFormatting sqref="A189:I189">
    <cfRule type="expression" priority="188" dxfId="0">
      <formula>$H189="YES"</formula>
    </cfRule>
  </conditionalFormatting>
  <conditionalFormatting sqref="A190:I190">
    <cfRule type="expression" priority="189" dxfId="0">
      <formula>$H190="YES"</formula>
    </cfRule>
  </conditionalFormatting>
  <conditionalFormatting sqref="A191:I191">
    <cfRule type="expression" priority="190" dxfId="0">
      <formula>$H191="YES"</formula>
    </cfRule>
  </conditionalFormatting>
  <conditionalFormatting sqref="A192:I192">
    <cfRule type="expression" priority="191" dxfId="0">
      <formula>$H192="YES"</formula>
    </cfRule>
  </conditionalFormatting>
  <conditionalFormatting sqref="A193:I193">
    <cfRule type="expression" priority="192" dxfId="0">
      <formula>$H193="YES"</formula>
    </cfRule>
  </conditionalFormatting>
  <conditionalFormatting sqref="A194:I194">
    <cfRule type="expression" priority="193" dxfId="0">
      <formula>$H194="YES"</formula>
    </cfRule>
  </conditionalFormatting>
  <conditionalFormatting sqref="A195:I195">
    <cfRule type="expression" priority="194" dxfId="0">
      <formula>$H195="YES"</formula>
    </cfRule>
  </conditionalFormatting>
  <conditionalFormatting sqref="A196:I196">
    <cfRule type="expression" priority="195" dxfId="0">
      <formula>$H196="YES"</formula>
    </cfRule>
  </conditionalFormatting>
  <conditionalFormatting sqref="A197:I197">
    <cfRule type="expression" priority="196" dxfId="0">
      <formula>$H197="YES"</formula>
    </cfRule>
  </conditionalFormatting>
  <conditionalFormatting sqref="A198:I198">
    <cfRule type="expression" priority="197" dxfId="0">
      <formula>$H198="YES"</formula>
    </cfRule>
  </conditionalFormatting>
  <conditionalFormatting sqref="A199:I199">
    <cfRule type="expression" priority="198" dxfId="0">
      <formula>$H199="YES"</formula>
    </cfRule>
  </conditionalFormatting>
  <conditionalFormatting sqref="A200:I200">
    <cfRule type="expression" priority="199" dxfId="0">
      <formula>$H200="YES"</formula>
    </cfRule>
  </conditionalFormatting>
  <conditionalFormatting sqref="A201:I201">
    <cfRule type="expression" priority="200" dxfId="0">
      <formula>$H201="YES"</formula>
    </cfRule>
  </conditionalFormatting>
  <conditionalFormatting sqref="A202:I202">
    <cfRule type="expression" priority="201" dxfId="0">
      <formula>$H202="YES"</formula>
    </cfRule>
  </conditionalFormatting>
  <conditionalFormatting sqref="A203:I203">
    <cfRule type="expression" priority="202" dxfId="0">
      <formula>$H203="YES"</formula>
    </cfRule>
  </conditionalFormatting>
  <conditionalFormatting sqref="A204:I204">
    <cfRule type="expression" priority="203" dxfId="0">
      <formula>$H204="YES"</formula>
    </cfRule>
  </conditionalFormatting>
  <conditionalFormatting sqref="A205:I205">
    <cfRule type="expression" priority="204" dxfId="0">
      <formula>$H205="YES"</formula>
    </cfRule>
  </conditionalFormatting>
  <conditionalFormatting sqref="A206:I206">
    <cfRule type="expression" priority="205" dxfId="0">
      <formula>$H206="YES"</formula>
    </cfRule>
  </conditionalFormatting>
  <conditionalFormatting sqref="A207:I207">
    <cfRule type="expression" priority="206" dxfId="0">
      <formula>$H207="YES"</formula>
    </cfRule>
  </conditionalFormatting>
  <conditionalFormatting sqref="A208:I208">
    <cfRule type="expression" priority="207" dxfId="0">
      <formula>$H208="YES"</formula>
    </cfRule>
  </conditionalFormatting>
  <conditionalFormatting sqref="A209:I209">
    <cfRule type="expression" priority="208" dxfId="0">
      <formula>$H209="YES"</formula>
    </cfRule>
  </conditionalFormatting>
  <conditionalFormatting sqref="A210:I210">
    <cfRule type="expression" priority="209" dxfId="0">
      <formula>$H210="YES"</formula>
    </cfRule>
  </conditionalFormatting>
  <conditionalFormatting sqref="A211:I211">
    <cfRule type="expression" priority="210" dxfId="0">
      <formula>$H211="YES"</formula>
    </cfRule>
  </conditionalFormatting>
  <conditionalFormatting sqref="A212:I212">
    <cfRule type="expression" priority="211" dxfId="0">
      <formula>$H212="YES"</formula>
    </cfRule>
  </conditionalFormatting>
  <conditionalFormatting sqref="A213:I213">
    <cfRule type="expression" priority="212" dxfId="0">
      <formula>$H213="YES"</formula>
    </cfRule>
  </conditionalFormatting>
  <conditionalFormatting sqref="A214:I214">
    <cfRule type="expression" priority="213" dxfId="0">
      <formula>$H214="YES"</formula>
    </cfRule>
  </conditionalFormatting>
  <conditionalFormatting sqref="A215:I215">
    <cfRule type="expression" priority="214" dxfId="0">
      <formula>$H215="YES"</formula>
    </cfRule>
  </conditionalFormatting>
  <conditionalFormatting sqref="A216:I216">
    <cfRule type="expression" priority="215" dxfId="0">
      <formula>$H216="YES"</formula>
    </cfRule>
  </conditionalFormatting>
  <conditionalFormatting sqref="A217:I217">
    <cfRule type="expression" priority="216" dxfId="0">
      <formula>$H217="YES"</formula>
    </cfRule>
  </conditionalFormatting>
  <conditionalFormatting sqref="A218:I218">
    <cfRule type="expression" priority="217" dxfId="0">
      <formula>$H218="YES"</formula>
    </cfRule>
  </conditionalFormatting>
  <conditionalFormatting sqref="A219:I219">
    <cfRule type="expression" priority="218" dxfId="0">
      <formula>$H219="YES"</formula>
    </cfRule>
  </conditionalFormatting>
  <conditionalFormatting sqref="A220:I220">
    <cfRule type="expression" priority="219" dxfId="0">
      <formula>$H220="YES"</formula>
    </cfRule>
  </conditionalFormatting>
  <conditionalFormatting sqref="A221:I221">
    <cfRule type="expression" priority="220" dxfId="0">
      <formula>$H221="YES"</formula>
    </cfRule>
  </conditionalFormatting>
  <conditionalFormatting sqref="A222:I222">
    <cfRule type="expression" priority="221" dxfId="0">
      <formula>$H222="YES"</formula>
    </cfRule>
  </conditionalFormatting>
  <conditionalFormatting sqref="A223:I223">
    <cfRule type="expression" priority="222" dxfId="0">
      <formula>$H223="YES"</formula>
    </cfRule>
  </conditionalFormatting>
  <conditionalFormatting sqref="A224:I224">
    <cfRule type="expression" priority="223" dxfId="0">
      <formula>$H224="YES"</formula>
    </cfRule>
  </conditionalFormatting>
  <conditionalFormatting sqref="A225:I225">
    <cfRule type="expression" priority="224" dxfId="0">
      <formula>$H225="YES"</formula>
    </cfRule>
  </conditionalFormatting>
  <conditionalFormatting sqref="A226:I226">
    <cfRule type="expression" priority="225" dxfId="0">
      <formula>$H226="YES"</formula>
    </cfRule>
  </conditionalFormatting>
  <conditionalFormatting sqref="A227:I227">
    <cfRule type="expression" priority="226" dxfId="0">
      <formula>$H227="YES"</formula>
    </cfRule>
  </conditionalFormatting>
  <conditionalFormatting sqref="A228:I228">
    <cfRule type="expression" priority="227" dxfId="0">
      <formula>$H228="YES"</formula>
    </cfRule>
  </conditionalFormatting>
  <conditionalFormatting sqref="A229:I229">
    <cfRule type="expression" priority="228" dxfId="0">
      <formula>$H229="YES"</formula>
    </cfRule>
  </conditionalFormatting>
  <conditionalFormatting sqref="A230:I230">
    <cfRule type="expression" priority="229" dxfId="0">
      <formula>$H230="YES"</formula>
    </cfRule>
  </conditionalFormatting>
  <conditionalFormatting sqref="A231:I231">
    <cfRule type="expression" priority="230" dxfId="0">
      <formula>$H231="YES"</formula>
    </cfRule>
  </conditionalFormatting>
  <conditionalFormatting sqref="A232:I232">
    <cfRule type="expression" priority="231" dxfId="0">
      <formula>$H232="YES"</formula>
    </cfRule>
  </conditionalFormatting>
  <conditionalFormatting sqref="A233:I233">
    <cfRule type="expression" priority="232" dxfId="0">
      <formula>$H233="YES"</formula>
    </cfRule>
  </conditionalFormatting>
  <conditionalFormatting sqref="A234:I234">
    <cfRule type="expression" priority="233" dxfId="0">
      <formula>$H234="YES"</formula>
    </cfRule>
  </conditionalFormatting>
  <conditionalFormatting sqref="A235:I235">
    <cfRule type="expression" priority="234" dxfId="0">
      <formula>$H235="YES"</formula>
    </cfRule>
  </conditionalFormatting>
  <conditionalFormatting sqref="A236:I236">
    <cfRule type="expression" priority="235" dxfId="0">
      <formula>$H236="YES"</formula>
    </cfRule>
  </conditionalFormatting>
  <conditionalFormatting sqref="A237:I237">
    <cfRule type="expression" priority="236" dxfId="0">
      <formula>$H237="YES"</formula>
    </cfRule>
  </conditionalFormatting>
  <conditionalFormatting sqref="A238:I238">
    <cfRule type="expression" priority="237" dxfId="0">
      <formula>$H238="YES"</formula>
    </cfRule>
  </conditionalFormatting>
  <conditionalFormatting sqref="A239:I239">
    <cfRule type="expression" priority="238" dxfId="0">
      <formula>$H239="YES"</formula>
    </cfRule>
  </conditionalFormatting>
  <conditionalFormatting sqref="A240:I240">
    <cfRule type="expression" priority="239" dxfId="0">
      <formula>$H240="YES"</formula>
    </cfRule>
  </conditionalFormatting>
  <conditionalFormatting sqref="A241:I241">
    <cfRule type="expression" priority="240" dxfId="0">
      <formula>$H241="YES"</formula>
    </cfRule>
  </conditionalFormatting>
  <conditionalFormatting sqref="A242:I242">
    <cfRule type="expression" priority="241" dxfId="0">
      <formula>$H242="YES"</formula>
    </cfRule>
  </conditionalFormatting>
  <conditionalFormatting sqref="A243:I243">
    <cfRule type="expression" priority="242" dxfId="0">
      <formula>$H243="YES"</formula>
    </cfRule>
  </conditionalFormatting>
  <conditionalFormatting sqref="A244:I244">
    <cfRule type="expression" priority="243" dxfId="0">
      <formula>$H244="YES"</formula>
    </cfRule>
  </conditionalFormatting>
  <conditionalFormatting sqref="A245:I245">
    <cfRule type="expression" priority="244" dxfId="0">
      <formula>$H245="YES"</formula>
    </cfRule>
  </conditionalFormatting>
  <conditionalFormatting sqref="A246:I246">
    <cfRule type="expression" priority="245" dxfId="0">
      <formula>$H246="YES"</formula>
    </cfRule>
  </conditionalFormatting>
  <conditionalFormatting sqref="A247:I247">
    <cfRule type="expression" priority="246" dxfId="0">
      <formula>$H247="YES"</formula>
    </cfRule>
  </conditionalFormatting>
  <conditionalFormatting sqref="A248:I248">
    <cfRule type="expression" priority="247" dxfId="0">
      <formula>$H248="YES"</formula>
    </cfRule>
  </conditionalFormatting>
  <conditionalFormatting sqref="A249:I249">
    <cfRule type="expression" priority="248" dxfId="0">
      <formula>$H249="YES"</formula>
    </cfRule>
  </conditionalFormatting>
  <conditionalFormatting sqref="A250:I250">
    <cfRule type="expression" priority="249" dxfId="0">
      <formula>$H250="YES"</formula>
    </cfRule>
  </conditionalFormatting>
  <conditionalFormatting sqref="A251:I251">
    <cfRule type="expression" priority="250" dxfId="0">
      <formula>$H251="YES"</formula>
    </cfRule>
  </conditionalFormatting>
  <conditionalFormatting sqref="A252:I252">
    <cfRule type="expression" priority="251" dxfId="0">
      <formula>$H252="YES"</formula>
    </cfRule>
  </conditionalFormatting>
  <conditionalFormatting sqref="A253:I253">
    <cfRule type="expression" priority="252" dxfId="0">
      <formula>$H253="YES"</formula>
    </cfRule>
  </conditionalFormatting>
  <conditionalFormatting sqref="A254:I254">
    <cfRule type="expression" priority="253" dxfId="0">
      <formula>$H254="YES"</formula>
    </cfRule>
  </conditionalFormatting>
  <conditionalFormatting sqref="A255:I255">
    <cfRule type="expression" priority="254" dxfId="0">
      <formula>$H255="YES"</formula>
    </cfRule>
  </conditionalFormatting>
  <conditionalFormatting sqref="A256:I256">
    <cfRule type="expression" priority="255" dxfId="0">
      <formula>$H256="YES"</formula>
    </cfRule>
  </conditionalFormatting>
  <conditionalFormatting sqref="A257:I257">
    <cfRule type="expression" priority="256" dxfId="0">
      <formula>$H257="YES"</formula>
    </cfRule>
  </conditionalFormatting>
  <conditionalFormatting sqref="A258:I258">
    <cfRule type="expression" priority="257" dxfId="0">
      <formula>$H258="YES"</formula>
    </cfRule>
  </conditionalFormatting>
  <conditionalFormatting sqref="A259:I259">
    <cfRule type="expression" priority="258" dxfId="0">
      <formula>$H259="YES"</formula>
    </cfRule>
  </conditionalFormatting>
  <conditionalFormatting sqref="A260:I260">
    <cfRule type="expression" priority="259" dxfId="0">
      <formula>$H260="YES"</formula>
    </cfRule>
  </conditionalFormatting>
  <conditionalFormatting sqref="A261:I261">
    <cfRule type="expression" priority="260" dxfId="0">
      <formula>$H261="YES"</formula>
    </cfRule>
  </conditionalFormatting>
  <conditionalFormatting sqref="A262:I262">
    <cfRule type="expression" priority="261" dxfId="0">
      <formula>$H262="YES"</formula>
    </cfRule>
  </conditionalFormatting>
  <conditionalFormatting sqref="A263:I263">
    <cfRule type="expression" priority="262" dxfId="0">
      <formula>$H263="YES"</formula>
    </cfRule>
  </conditionalFormatting>
  <conditionalFormatting sqref="A264:I264">
    <cfRule type="expression" priority="263" dxfId="0">
      <formula>$H264="YES"</formula>
    </cfRule>
  </conditionalFormatting>
  <conditionalFormatting sqref="A265:I265">
    <cfRule type="expression" priority="264" dxfId="0">
      <formula>$H265="YES"</formula>
    </cfRule>
  </conditionalFormatting>
  <conditionalFormatting sqref="A266:I266">
    <cfRule type="expression" priority="265" dxfId="0">
      <formula>$H266="YES"</formula>
    </cfRule>
  </conditionalFormatting>
  <conditionalFormatting sqref="A267:I267">
    <cfRule type="expression" priority="266" dxfId="0">
      <formula>$H267="YES"</formula>
    </cfRule>
  </conditionalFormatting>
  <conditionalFormatting sqref="A268:I268">
    <cfRule type="expression" priority="267" dxfId="0">
      <formula>$H268="YES"</formula>
    </cfRule>
  </conditionalFormatting>
  <conditionalFormatting sqref="A269:I269">
    <cfRule type="expression" priority="268" dxfId="0">
      <formula>$H269="YES"</formula>
    </cfRule>
  </conditionalFormatting>
  <conditionalFormatting sqref="A270:I270">
    <cfRule type="expression" priority="269" dxfId="0">
      <formula>$H270="YES"</formula>
    </cfRule>
  </conditionalFormatting>
  <conditionalFormatting sqref="A271:I271">
    <cfRule type="expression" priority="270" dxfId="0">
      <formula>$H271="YES"</formula>
    </cfRule>
  </conditionalFormatting>
  <conditionalFormatting sqref="A272:I272">
    <cfRule type="expression" priority="271" dxfId="0">
      <formula>$H272="YES"</formula>
    </cfRule>
  </conditionalFormatting>
  <conditionalFormatting sqref="A273:I273">
    <cfRule type="expression" priority="272" dxfId="0">
      <formula>$H273="YES"</formula>
    </cfRule>
  </conditionalFormatting>
  <conditionalFormatting sqref="A274:I274">
    <cfRule type="expression" priority="273" dxfId="0">
      <formula>$H274="YES"</formula>
    </cfRule>
  </conditionalFormatting>
  <conditionalFormatting sqref="A275:I275">
    <cfRule type="expression" priority="274" dxfId="0">
      <formula>$H275="YES"</formula>
    </cfRule>
  </conditionalFormatting>
  <conditionalFormatting sqref="A276:I276">
    <cfRule type="expression" priority="275" dxfId="0">
      <formula>$H276="YES"</formula>
    </cfRule>
  </conditionalFormatting>
  <conditionalFormatting sqref="A277:I277">
    <cfRule type="expression" priority="276" dxfId="0">
      <formula>$H277="YES"</formula>
    </cfRule>
  </conditionalFormatting>
  <conditionalFormatting sqref="A278:I278">
    <cfRule type="expression" priority="277" dxfId="0">
      <formula>$H278="YES"</formula>
    </cfRule>
  </conditionalFormatting>
  <conditionalFormatting sqref="A279:I279">
    <cfRule type="expression" priority="278" dxfId="0">
      <formula>$H279="YES"</formula>
    </cfRule>
  </conditionalFormatting>
  <conditionalFormatting sqref="A280:I280">
    <cfRule type="expression" priority="279" dxfId="0">
      <formula>$H280="YES"</formula>
    </cfRule>
  </conditionalFormatting>
  <conditionalFormatting sqref="A281:I281">
    <cfRule type="expression" priority="280" dxfId="0">
      <formula>$H281="YES"</formula>
    </cfRule>
  </conditionalFormatting>
  <conditionalFormatting sqref="A282:I282">
    <cfRule type="expression" priority="281" dxfId="0">
      <formula>$H282="YES"</formula>
    </cfRule>
  </conditionalFormatting>
  <conditionalFormatting sqref="A283:I283">
    <cfRule type="expression" priority="282" dxfId="0">
      <formula>$H283="YES"</formula>
    </cfRule>
  </conditionalFormatting>
  <conditionalFormatting sqref="A284:I284">
    <cfRule type="expression" priority="283" dxfId="0">
      <formula>$H284="YES"</formula>
    </cfRule>
  </conditionalFormatting>
  <conditionalFormatting sqref="A285:I285">
    <cfRule type="expression" priority="284" dxfId="0">
      <formula>$H285="YES"</formula>
    </cfRule>
  </conditionalFormatting>
  <conditionalFormatting sqref="A286:I286">
    <cfRule type="expression" priority="285" dxfId="0">
      <formula>$H286="YES"</formula>
    </cfRule>
  </conditionalFormatting>
  <conditionalFormatting sqref="A287:I287">
    <cfRule type="expression" priority="286" dxfId="0">
      <formula>$H287="YES"</formula>
    </cfRule>
  </conditionalFormatting>
  <conditionalFormatting sqref="A288:I288">
    <cfRule type="expression" priority="287" dxfId="0">
      <formula>$H288="YES"</formula>
    </cfRule>
  </conditionalFormatting>
  <conditionalFormatting sqref="A289:I289">
    <cfRule type="expression" priority="288" dxfId="0">
      <formula>$H289="YES"</formula>
    </cfRule>
  </conditionalFormatting>
  <conditionalFormatting sqref="A290:I290">
    <cfRule type="expression" priority="289" dxfId="0">
      <formula>$H290="YES"</formula>
    </cfRule>
  </conditionalFormatting>
  <conditionalFormatting sqref="A291:I291">
    <cfRule type="expression" priority="290" dxfId="0">
      <formula>$H291="YES"</formula>
    </cfRule>
  </conditionalFormatting>
  <conditionalFormatting sqref="A292:I292">
    <cfRule type="expression" priority="291" dxfId="0">
      <formula>$H292="YES"</formula>
    </cfRule>
  </conditionalFormatting>
  <conditionalFormatting sqref="A293:I293">
    <cfRule type="expression" priority="292" dxfId="0">
      <formula>$H293="YES"</formula>
    </cfRule>
  </conditionalFormatting>
  <conditionalFormatting sqref="A294:I294">
    <cfRule type="expression" priority="293" dxfId="0">
      <formula>$H294="YES"</formula>
    </cfRule>
  </conditionalFormatting>
  <conditionalFormatting sqref="A295:I295">
    <cfRule type="expression" priority="294" dxfId="0">
      <formula>$H295="YES"</formula>
    </cfRule>
  </conditionalFormatting>
  <conditionalFormatting sqref="A296:I296">
    <cfRule type="expression" priority="295" dxfId="0">
      <formula>$H296="YES"</formula>
    </cfRule>
  </conditionalFormatting>
  <conditionalFormatting sqref="A297:I297">
    <cfRule type="expression" priority="296" dxfId="0">
      <formula>$H297="YES"</formula>
    </cfRule>
  </conditionalFormatting>
  <conditionalFormatting sqref="A298:I298">
    <cfRule type="expression" priority="297" dxfId="0">
      <formula>$H298="YES"</formula>
    </cfRule>
  </conditionalFormatting>
  <conditionalFormatting sqref="A299:I299">
    <cfRule type="expression" priority="298" dxfId="0">
      <formula>$H299="YES"</formula>
    </cfRule>
  </conditionalFormatting>
  <conditionalFormatting sqref="A300:I300">
    <cfRule type="expression" priority="299" dxfId="0">
      <formula>$H300="YES"</formula>
    </cfRule>
  </conditionalFormatting>
  <conditionalFormatting sqref="A301:I301">
    <cfRule type="expression" priority="300" dxfId="0">
      <formula>$H301="YES"</formula>
    </cfRule>
  </conditionalFormatting>
  <conditionalFormatting sqref="A302:I302">
    <cfRule type="expression" priority="301" dxfId="0">
      <formula>$H302="YES"</formula>
    </cfRule>
  </conditionalFormatting>
  <conditionalFormatting sqref="A303:I303">
    <cfRule type="expression" priority="302" dxfId="0">
      <formula>$H303="YES"</formula>
    </cfRule>
  </conditionalFormatting>
  <conditionalFormatting sqref="A304:I304">
    <cfRule type="expression" priority="303" dxfId="0">
      <formula>$H304="YES"</formula>
    </cfRule>
  </conditionalFormatting>
  <conditionalFormatting sqref="A305:I305">
    <cfRule type="expression" priority="304" dxfId="0">
      <formula>$H305="YES"</formula>
    </cfRule>
  </conditionalFormatting>
  <conditionalFormatting sqref="A306:I306">
    <cfRule type="expression" priority="305" dxfId="0">
      <formula>$H306="YES"</formula>
    </cfRule>
  </conditionalFormatting>
  <conditionalFormatting sqref="A307:I307">
    <cfRule type="expression" priority="306" dxfId="0">
      <formula>$H307="YES"</formula>
    </cfRule>
  </conditionalFormatting>
  <conditionalFormatting sqref="A308:I308">
    <cfRule type="expression" priority="307" dxfId="0">
      <formula>$H308="YES"</formula>
    </cfRule>
  </conditionalFormatting>
  <conditionalFormatting sqref="A309:I309">
    <cfRule type="expression" priority="308" dxfId="0">
      <formula>$H309="YES"</formula>
    </cfRule>
  </conditionalFormatting>
  <conditionalFormatting sqref="A310:I310">
    <cfRule type="expression" priority="309" dxfId="0">
      <formula>$H310="YES"</formula>
    </cfRule>
  </conditionalFormatting>
  <conditionalFormatting sqref="A311:I311">
    <cfRule type="expression" priority="310" dxfId="0">
      <formula>$H311="YES"</formula>
    </cfRule>
  </conditionalFormatting>
  <conditionalFormatting sqref="A312:I312">
    <cfRule type="expression" priority="311" dxfId="0">
      <formula>$H312="YES"</formula>
    </cfRule>
  </conditionalFormatting>
  <conditionalFormatting sqref="A313:I313">
    <cfRule type="expression" priority="312" dxfId="0">
      <formula>$H313="YES"</formula>
    </cfRule>
  </conditionalFormatting>
  <conditionalFormatting sqref="A314:I314">
    <cfRule type="expression" priority="313" dxfId="0">
      <formula>$H314="YES"</formula>
    </cfRule>
  </conditionalFormatting>
  <conditionalFormatting sqref="A315:I315">
    <cfRule type="expression" priority="314" dxfId="0">
      <formula>$H315="YES"</formula>
    </cfRule>
  </conditionalFormatting>
  <conditionalFormatting sqref="A316:I316">
    <cfRule type="expression" priority="315" dxfId="0">
      <formula>$H316="YES"</formula>
    </cfRule>
  </conditionalFormatting>
  <conditionalFormatting sqref="A317:I317">
    <cfRule type="expression" priority="316" dxfId="0">
      <formula>$H317="YES"</formula>
    </cfRule>
  </conditionalFormatting>
  <conditionalFormatting sqref="A318:I318">
    <cfRule type="expression" priority="317" dxfId="0">
      <formula>$H318="YES"</formula>
    </cfRule>
  </conditionalFormatting>
  <conditionalFormatting sqref="A319:I319">
    <cfRule type="expression" priority="318" dxfId="0">
      <formula>$H319="YES"</formula>
    </cfRule>
  </conditionalFormatting>
  <conditionalFormatting sqref="A320:I320">
    <cfRule type="expression" priority="319" dxfId="0">
      <formula>$H320="YES"</formula>
    </cfRule>
  </conditionalFormatting>
  <conditionalFormatting sqref="A321:I321">
    <cfRule type="expression" priority="320" dxfId="0">
      <formula>$H321="YES"</formula>
    </cfRule>
  </conditionalFormatting>
  <conditionalFormatting sqref="A322:I322">
    <cfRule type="expression" priority="321" dxfId="0">
      <formula>$H322="YES"</formula>
    </cfRule>
  </conditionalFormatting>
  <conditionalFormatting sqref="A323:I323">
    <cfRule type="expression" priority="322" dxfId="0">
      <formula>$H323="YES"</formula>
    </cfRule>
  </conditionalFormatting>
  <conditionalFormatting sqref="A324:I324">
    <cfRule type="expression" priority="323" dxfId="0">
      <formula>$H324="YES"</formula>
    </cfRule>
  </conditionalFormatting>
  <conditionalFormatting sqref="A325:I325">
    <cfRule type="expression" priority="324" dxfId="0">
      <formula>$H325="YES"</formula>
    </cfRule>
  </conditionalFormatting>
  <conditionalFormatting sqref="A326:I326">
    <cfRule type="expression" priority="325" dxfId="0">
      <formula>$H326="YES"</formula>
    </cfRule>
  </conditionalFormatting>
  <conditionalFormatting sqref="A327:I327">
    <cfRule type="expression" priority="326" dxfId="0">
      <formula>$H327="YES"</formula>
    </cfRule>
  </conditionalFormatting>
  <conditionalFormatting sqref="A328:I328">
    <cfRule type="expression" priority="327" dxfId="0">
      <formula>$H328="YES"</formula>
    </cfRule>
  </conditionalFormatting>
  <conditionalFormatting sqref="A329:I329">
    <cfRule type="expression" priority="328" dxfId="0">
      <formula>$H329="YES"</formula>
    </cfRule>
  </conditionalFormatting>
  <conditionalFormatting sqref="A330:I330">
    <cfRule type="expression" priority="329" dxfId="0">
      <formula>$H330="YES"</formula>
    </cfRule>
  </conditionalFormatting>
  <conditionalFormatting sqref="A331:I331">
    <cfRule type="expression" priority="330" dxfId="0">
      <formula>$H331="YES"</formula>
    </cfRule>
  </conditionalFormatting>
  <conditionalFormatting sqref="A332:I332">
    <cfRule type="expression" priority="331" dxfId="0">
      <formula>$H332="YES"</formula>
    </cfRule>
  </conditionalFormatting>
  <conditionalFormatting sqref="A333:I333">
    <cfRule type="expression" priority="332" dxfId="0">
      <formula>$H333="YES"</formula>
    </cfRule>
  </conditionalFormatting>
  <conditionalFormatting sqref="A334:I334">
    <cfRule type="expression" priority="333" dxfId="0">
      <formula>$H334="YES"</formula>
    </cfRule>
  </conditionalFormatting>
  <conditionalFormatting sqref="A335:I335">
    <cfRule type="expression" priority="334" dxfId="0">
      <formula>$H335="YES"</formula>
    </cfRule>
  </conditionalFormatting>
  <conditionalFormatting sqref="A336:I336">
    <cfRule type="expression" priority="335" dxfId="0">
      <formula>$H336="YES"</formula>
    </cfRule>
  </conditionalFormatting>
  <conditionalFormatting sqref="A337:I337">
    <cfRule type="expression" priority="336" dxfId="0">
      <formula>$H337="YES"</formula>
    </cfRule>
  </conditionalFormatting>
  <conditionalFormatting sqref="A338:I338">
    <cfRule type="expression" priority="337" dxfId="0">
      <formula>$H338="YES"</formula>
    </cfRule>
  </conditionalFormatting>
  <conditionalFormatting sqref="A339:I339">
    <cfRule type="expression" priority="338" dxfId="0">
      <formula>$H339="YES"</formula>
    </cfRule>
  </conditionalFormatting>
  <conditionalFormatting sqref="A340:I340">
    <cfRule type="expression" priority="339" dxfId="0">
      <formula>$H340="YES"</formula>
    </cfRule>
  </conditionalFormatting>
  <conditionalFormatting sqref="A341:I341">
    <cfRule type="expression" priority="340" dxfId="0">
      <formula>$H341="YES"</formula>
    </cfRule>
  </conditionalFormatting>
  <conditionalFormatting sqref="A342:I342">
    <cfRule type="expression" priority="341" dxfId="0">
      <formula>$H342="YES"</formula>
    </cfRule>
  </conditionalFormatting>
  <conditionalFormatting sqref="A343:I343">
    <cfRule type="expression" priority="342" dxfId="0">
      <formula>$H343="YES"</formula>
    </cfRule>
  </conditionalFormatting>
  <conditionalFormatting sqref="A344:I344">
    <cfRule type="expression" priority="343" dxfId="0">
      <formula>$H344="YES"</formula>
    </cfRule>
  </conditionalFormatting>
  <conditionalFormatting sqref="A345:I345">
    <cfRule type="expression" priority="344" dxfId="0">
      <formula>$H345="YES"</formula>
    </cfRule>
  </conditionalFormatting>
  <conditionalFormatting sqref="A346:I346">
    <cfRule type="expression" priority="345" dxfId="0">
      <formula>$H346="YES"</formula>
    </cfRule>
  </conditionalFormatting>
  <conditionalFormatting sqref="A347:I347">
    <cfRule type="expression" priority="346" dxfId="0">
      <formula>$H347="YES"</formula>
    </cfRule>
  </conditionalFormatting>
  <conditionalFormatting sqref="A348:I348">
    <cfRule type="expression" priority="347" dxfId="0">
      <formula>$H348="YES"</formula>
    </cfRule>
  </conditionalFormatting>
  <conditionalFormatting sqref="A349:I349">
    <cfRule type="expression" priority="348" dxfId="0">
      <formula>$H349="YES"</formula>
    </cfRule>
  </conditionalFormatting>
  <conditionalFormatting sqref="A350:I350">
    <cfRule type="expression" priority="349" dxfId="0">
      <formula>$H350="YES"</formula>
    </cfRule>
  </conditionalFormatting>
  <conditionalFormatting sqref="A351:I351">
    <cfRule type="expression" priority="350" dxfId="0">
      <formula>$H351="YES"</formula>
    </cfRule>
  </conditionalFormatting>
  <conditionalFormatting sqref="A352:I352">
    <cfRule type="expression" priority="351" dxfId="0">
      <formula>$H352="YES"</formula>
    </cfRule>
  </conditionalFormatting>
  <conditionalFormatting sqref="A353:I353">
    <cfRule type="expression" priority="352" dxfId="0">
      <formula>$H353="YES"</formula>
    </cfRule>
  </conditionalFormatting>
  <conditionalFormatting sqref="A354:I354">
    <cfRule type="expression" priority="353" dxfId="0">
      <formula>$H354="YES"</formula>
    </cfRule>
  </conditionalFormatting>
  <conditionalFormatting sqref="A355:I355">
    <cfRule type="expression" priority="354" dxfId="0">
      <formula>$H355="YES"</formula>
    </cfRule>
  </conditionalFormatting>
  <conditionalFormatting sqref="A356:I356">
    <cfRule type="expression" priority="355" dxfId="0">
      <formula>$H356="YES"</formula>
    </cfRule>
  </conditionalFormatting>
  <conditionalFormatting sqref="A357:I357">
    <cfRule type="expression" priority="356" dxfId="0">
      <formula>$H357="YES"</formula>
    </cfRule>
  </conditionalFormatting>
  <conditionalFormatting sqref="A358:I358">
    <cfRule type="expression" priority="357" dxfId="0">
      <formula>$H358="YES"</formula>
    </cfRule>
  </conditionalFormatting>
  <conditionalFormatting sqref="A359:I359">
    <cfRule type="expression" priority="358" dxfId="0">
      <formula>$H359="YES"</formula>
    </cfRule>
  </conditionalFormatting>
  <conditionalFormatting sqref="A360:I360">
    <cfRule type="expression" priority="359" dxfId="0">
      <formula>$H360="YES"</formula>
    </cfRule>
  </conditionalFormatting>
  <conditionalFormatting sqref="A361:I361">
    <cfRule type="expression" priority="360" dxfId="0">
      <formula>$H361="YES"</formula>
    </cfRule>
  </conditionalFormatting>
  <conditionalFormatting sqref="A362:I362">
    <cfRule type="expression" priority="361" dxfId="0">
      <formula>$H362="YES"</formula>
    </cfRule>
  </conditionalFormatting>
  <conditionalFormatting sqref="A363:I363">
    <cfRule type="expression" priority="362" dxfId="0">
      <formula>$H363="YES"</formula>
    </cfRule>
  </conditionalFormatting>
  <conditionalFormatting sqref="A364:I364">
    <cfRule type="expression" priority="363" dxfId="0">
      <formula>$H364="YES"</formula>
    </cfRule>
  </conditionalFormatting>
  <conditionalFormatting sqref="A365:I365">
    <cfRule type="expression" priority="364" dxfId="0">
      <formula>$H365="YES"</formula>
    </cfRule>
  </conditionalFormatting>
  <conditionalFormatting sqref="A366:I366">
    <cfRule type="expression" priority="365" dxfId="0">
      <formula>$H366="YES"</formula>
    </cfRule>
  </conditionalFormatting>
  <conditionalFormatting sqref="A367:I367">
    <cfRule type="expression" priority="366" dxfId="0">
      <formula>$H367="YES"</formula>
    </cfRule>
  </conditionalFormatting>
  <conditionalFormatting sqref="A368:I368">
    <cfRule type="expression" priority="367" dxfId="0">
      <formula>$H368="YES"</formula>
    </cfRule>
  </conditionalFormatting>
  <conditionalFormatting sqref="A369:I369">
    <cfRule type="expression" priority="368" dxfId="0">
      <formula>$H369="YES"</formula>
    </cfRule>
  </conditionalFormatting>
  <conditionalFormatting sqref="A370:I370">
    <cfRule type="expression" priority="369" dxfId="0">
      <formula>$H370="YES"</formula>
    </cfRule>
  </conditionalFormatting>
  <conditionalFormatting sqref="A371:I371">
    <cfRule type="expression" priority="370" dxfId="0">
      <formula>$H371="YES"</formula>
    </cfRule>
  </conditionalFormatting>
  <conditionalFormatting sqref="A372:I372">
    <cfRule type="expression" priority="371" dxfId="0">
      <formula>$H372="YES"</formula>
    </cfRule>
  </conditionalFormatting>
  <conditionalFormatting sqref="A373:I373">
    <cfRule type="expression" priority="372" dxfId="0">
      <formula>$H373="YES"</formula>
    </cfRule>
  </conditionalFormatting>
  <conditionalFormatting sqref="A374:I374">
    <cfRule type="expression" priority="373" dxfId="0">
      <formula>$H374="YES"</formula>
    </cfRule>
  </conditionalFormatting>
  <conditionalFormatting sqref="A375:I375">
    <cfRule type="expression" priority="374" dxfId="0">
      <formula>$H375="YES"</formula>
    </cfRule>
  </conditionalFormatting>
  <conditionalFormatting sqref="A376:I376">
    <cfRule type="expression" priority="375" dxfId="0">
      <formula>$H376="YES"</formula>
    </cfRule>
  </conditionalFormatting>
  <conditionalFormatting sqref="A377:I377">
    <cfRule type="expression" priority="376" dxfId="0">
      <formula>$H377="YES"</formula>
    </cfRule>
  </conditionalFormatting>
  <conditionalFormatting sqref="A378:I378">
    <cfRule type="expression" priority="377" dxfId="0">
      <formula>$H378="YES"</formula>
    </cfRule>
  </conditionalFormatting>
  <conditionalFormatting sqref="A379:I379">
    <cfRule type="expression" priority="378" dxfId="0">
      <formula>$H379="YES"</formula>
    </cfRule>
  </conditionalFormatting>
  <conditionalFormatting sqref="A380:I380">
    <cfRule type="expression" priority="379" dxfId="0">
      <formula>$H380="YES"</formula>
    </cfRule>
  </conditionalFormatting>
  <conditionalFormatting sqref="A381:I381">
    <cfRule type="expression" priority="380" dxfId="0">
      <formula>$H381="YES"</formula>
    </cfRule>
  </conditionalFormatting>
  <conditionalFormatting sqref="A382:I382">
    <cfRule type="expression" priority="381" dxfId="0">
      <formula>$H382="YES"</formula>
    </cfRule>
  </conditionalFormatting>
  <conditionalFormatting sqref="A383:I383">
    <cfRule type="expression" priority="382" dxfId="0">
      <formula>$H383="YES"</formula>
    </cfRule>
  </conditionalFormatting>
  <conditionalFormatting sqref="A384:I384">
    <cfRule type="expression" priority="383" dxfId="0">
      <formula>$H384="YES"</formula>
    </cfRule>
  </conditionalFormatting>
  <conditionalFormatting sqref="A385:I385">
    <cfRule type="expression" priority="384" dxfId="0">
      <formula>$H385="YES"</formula>
    </cfRule>
  </conditionalFormatting>
  <conditionalFormatting sqref="A386:I386">
    <cfRule type="expression" priority="385" dxfId="0">
      <formula>$H386="YES"</formula>
    </cfRule>
  </conditionalFormatting>
  <conditionalFormatting sqref="A387:I387">
    <cfRule type="expression" priority="386" dxfId="0">
      <formula>$H387="YES"</formula>
    </cfRule>
  </conditionalFormatting>
  <conditionalFormatting sqref="A388:I388">
    <cfRule type="expression" priority="387" dxfId="0">
      <formula>$H388="YES"</formula>
    </cfRule>
  </conditionalFormatting>
  <conditionalFormatting sqref="A389:I389">
    <cfRule type="expression" priority="388" dxfId="0">
      <formula>$H389="YES"</formula>
    </cfRule>
  </conditionalFormatting>
  <conditionalFormatting sqref="A390:I390">
    <cfRule type="expression" priority="389" dxfId="0">
      <formula>$H390="YES"</formula>
    </cfRule>
  </conditionalFormatting>
  <conditionalFormatting sqref="A391:I391">
    <cfRule type="expression" priority="390" dxfId="0">
      <formula>$H391="YES"</formula>
    </cfRule>
  </conditionalFormatting>
  <conditionalFormatting sqref="A392:I392">
    <cfRule type="expression" priority="391" dxfId="0">
      <formula>$H392="YES"</formula>
    </cfRule>
  </conditionalFormatting>
  <conditionalFormatting sqref="A393:I393">
    <cfRule type="expression" priority="392" dxfId="0">
      <formula>$H393="YES"</formula>
    </cfRule>
  </conditionalFormatting>
  <conditionalFormatting sqref="A394:I394">
    <cfRule type="expression" priority="393" dxfId="0">
      <formula>$H394="YES"</formula>
    </cfRule>
  </conditionalFormatting>
  <conditionalFormatting sqref="A395:I395">
    <cfRule type="expression" priority="394" dxfId="0">
      <formula>$H395="YES"</formula>
    </cfRule>
  </conditionalFormatting>
  <conditionalFormatting sqref="A396:I396">
    <cfRule type="expression" priority="395" dxfId="0">
      <formula>$H396="YES"</formula>
    </cfRule>
  </conditionalFormatting>
  <conditionalFormatting sqref="A397:I397">
    <cfRule type="expression" priority="396" dxfId="0">
      <formula>$H397="YES"</formula>
    </cfRule>
  </conditionalFormatting>
  <conditionalFormatting sqref="A398:I398">
    <cfRule type="expression" priority="397" dxfId="0">
      <formula>$H398="YES"</formula>
    </cfRule>
  </conditionalFormatting>
  <conditionalFormatting sqref="A399:I399">
    <cfRule type="expression" priority="398" dxfId="0">
      <formula>$H399="YES"</formula>
    </cfRule>
  </conditionalFormatting>
  <conditionalFormatting sqref="A400:I400">
    <cfRule type="expression" priority="399" dxfId="0">
      <formula>$H400="YES"</formula>
    </cfRule>
  </conditionalFormatting>
  <conditionalFormatting sqref="A401:I401">
    <cfRule type="expression" priority="400" dxfId="0">
      <formula>$H401="YES"</formula>
    </cfRule>
  </conditionalFormatting>
  <conditionalFormatting sqref="A402:I402">
    <cfRule type="expression" priority="401" dxfId="0">
      <formula>$H402="YES"</formula>
    </cfRule>
  </conditionalFormatting>
  <conditionalFormatting sqref="A403:I403">
    <cfRule type="expression" priority="402" dxfId="0">
      <formula>$H403="YES"</formula>
    </cfRule>
  </conditionalFormatting>
  <conditionalFormatting sqref="A404:I404">
    <cfRule type="expression" priority="403" dxfId="0">
      <formula>$H404="YES"</formula>
    </cfRule>
  </conditionalFormatting>
  <conditionalFormatting sqref="A405:I405">
    <cfRule type="expression" priority="404" dxfId="0">
      <formula>$H405="YES"</formula>
    </cfRule>
  </conditionalFormatting>
  <conditionalFormatting sqref="A406:I406">
    <cfRule type="expression" priority="405" dxfId="0">
      <formula>$H406="YES"</formula>
    </cfRule>
  </conditionalFormatting>
  <conditionalFormatting sqref="A407:I407">
    <cfRule type="expression" priority="406" dxfId="0">
      <formula>$H407="YES"</formula>
    </cfRule>
  </conditionalFormatting>
  <conditionalFormatting sqref="A408:I408">
    <cfRule type="expression" priority="407" dxfId="0">
      <formula>$H408="YES"</formula>
    </cfRule>
  </conditionalFormatting>
  <conditionalFormatting sqref="A409:I409">
    <cfRule type="expression" priority="408" dxfId="0">
      <formula>$H409="YES"</formula>
    </cfRule>
  </conditionalFormatting>
  <conditionalFormatting sqref="A410:I410">
    <cfRule type="expression" priority="409" dxfId="0">
      <formula>$H410="YES"</formula>
    </cfRule>
  </conditionalFormatting>
  <conditionalFormatting sqref="A411:I411">
    <cfRule type="expression" priority="410" dxfId="0">
      <formula>$H411="YES"</formula>
    </cfRule>
  </conditionalFormatting>
  <conditionalFormatting sqref="A412:I412">
    <cfRule type="expression" priority="411" dxfId="0">
      <formula>$H412="YES"</formula>
    </cfRule>
  </conditionalFormatting>
  <conditionalFormatting sqref="A413:I413">
    <cfRule type="expression" priority="412" dxfId="0">
      <formula>$H413="YES"</formula>
    </cfRule>
  </conditionalFormatting>
  <conditionalFormatting sqref="A414:I414">
    <cfRule type="expression" priority="413" dxfId="0">
      <formula>$H414="YES"</formula>
    </cfRule>
  </conditionalFormatting>
  <conditionalFormatting sqref="A415:I415">
    <cfRule type="expression" priority="414" dxfId="0">
      <formula>$H415="YES"</formula>
    </cfRule>
  </conditionalFormatting>
  <conditionalFormatting sqref="A416:I416">
    <cfRule type="expression" priority="415" dxfId="0">
      <formula>$H416="YES"</formula>
    </cfRule>
  </conditionalFormatting>
  <conditionalFormatting sqref="A417:I417">
    <cfRule type="expression" priority="416" dxfId="0">
      <formula>$H417="YES"</formula>
    </cfRule>
  </conditionalFormatting>
  <conditionalFormatting sqref="A418:I418">
    <cfRule type="expression" priority="417" dxfId="0">
      <formula>$H418="YES"</formula>
    </cfRule>
  </conditionalFormatting>
  <conditionalFormatting sqref="A419:I419">
    <cfRule type="expression" priority="418" dxfId="0">
      <formula>$H419="YES"</formula>
    </cfRule>
  </conditionalFormatting>
  <conditionalFormatting sqref="A420:I420">
    <cfRule type="expression" priority="419" dxfId="0">
      <formula>$H420="YES"</formula>
    </cfRule>
  </conditionalFormatting>
  <conditionalFormatting sqref="A421:I421">
    <cfRule type="expression" priority="420" dxfId="0">
      <formula>$H421="YES"</formula>
    </cfRule>
  </conditionalFormatting>
  <conditionalFormatting sqref="A422:I422">
    <cfRule type="expression" priority="421" dxfId="0">
      <formula>$H422="YES"</formula>
    </cfRule>
  </conditionalFormatting>
  <conditionalFormatting sqref="A423:I423">
    <cfRule type="expression" priority="422" dxfId="0">
      <formula>$H423="YES"</formula>
    </cfRule>
  </conditionalFormatting>
  <conditionalFormatting sqref="A424:I424">
    <cfRule type="expression" priority="423" dxfId="0">
      <formula>$H424="YES"</formula>
    </cfRule>
  </conditionalFormatting>
  <conditionalFormatting sqref="A425:I425">
    <cfRule type="expression" priority="424" dxfId="0">
      <formula>$H425="YES"</formula>
    </cfRule>
  </conditionalFormatting>
  <conditionalFormatting sqref="A426:I426">
    <cfRule type="expression" priority="425" dxfId="0">
      <formula>$H426="YES"</formula>
    </cfRule>
  </conditionalFormatting>
  <conditionalFormatting sqref="A427:I427">
    <cfRule type="expression" priority="426" dxfId="0">
      <formula>$H427="YES"</formula>
    </cfRule>
  </conditionalFormatting>
  <conditionalFormatting sqref="A428:I428">
    <cfRule type="expression" priority="427" dxfId="0">
      <formula>$H428="YES"</formula>
    </cfRule>
  </conditionalFormatting>
  <conditionalFormatting sqref="A429:I429">
    <cfRule type="expression" priority="428" dxfId="0">
      <formula>$H429="YES"</formula>
    </cfRule>
  </conditionalFormatting>
  <conditionalFormatting sqref="A430:I430">
    <cfRule type="expression" priority="429" dxfId="0">
      <formula>$H430="YES"</formula>
    </cfRule>
  </conditionalFormatting>
  <conditionalFormatting sqref="A431:I431">
    <cfRule type="expression" priority="430" dxfId="0">
      <formula>$H431="YES"</formula>
    </cfRule>
  </conditionalFormatting>
  <conditionalFormatting sqref="A432:I432">
    <cfRule type="expression" priority="431" dxfId="0">
      <formula>$H432="YES"</formula>
    </cfRule>
  </conditionalFormatting>
  <conditionalFormatting sqref="A433:I433">
    <cfRule type="expression" priority="432" dxfId="0">
      <formula>$H433="YES"</formula>
    </cfRule>
  </conditionalFormatting>
  <conditionalFormatting sqref="A434:I434">
    <cfRule type="expression" priority="433" dxfId="0">
      <formula>$H434="YES"</formula>
    </cfRule>
  </conditionalFormatting>
  <conditionalFormatting sqref="A435:I435">
    <cfRule type="expression" priority="434" dxfId="0">
      <formula>$H435="YES"</formula>
    </cfRule>
  </conditionalFormatting>
  <conditionalFormatting sqref="A436:I436">
    <cfRule type="expression" priority="435" dxfId="0">
      <formula>$H436="YES"</formula>
    </cfRule>
  </conditionalFormatting>
  <conditionalFormatting sqref="A437:I437">
    <cfRule type="expression" priority="436" dxfId="0">
      <formula>$H437="YES"</formula>
    </cfRule>
  </conditionalFormatting>
  <conditionalFormatting sqref="A438:I438">
    <cfRule type="expression" priority="437" dxfId="0">
      <formula>$H438="YES"</formula>
    </cfRule>
  </conditionalFormatting>
  <conditionalFormatting sqref="A439:I439">
    <cfRule type="expression" priority="438" dxfId="0">
      <formula>$H439="YES"</formula>
    </cfRule>
  </conditionalFormatting>
  <conditionalFormatting sqref="A440:I440">
    <cfRule type="expression" priority="439" dxfId="0">
      <formula>$H440="YES"</formula>
    </cfRule>
  </conditionalFormatting>
  <conditionalFormatting sqref="A441:I441">
    <cfRule type="expression" priority="440" dxfId="0">
      <formula>$H441="YES"</formula>
    </cfRule>
  </conditionalFormatting>
  <conditionalFormatting sqref="A442:I442">
    <cfRule type="expression" priority="441" dxfId="0">
      <formula>$H442="YES"</formula>
    </cfRule>
  </conditionalFormatting>
  <conditionalFormatting sqref="A443:I443">
    <cfRule type="expression" priority="442" dxfId="0">
      <formula>$H443="YES"</formula>
    </cfRule>
  </conditionalFormatting>
  <conditionalFormatting sqref="A444:I444">
    <cfRule type="expression" priority="443" dxfId="0">
      <formula>$H444="YES"</formula>
    </cfRule>
  </conditionalFormatting>
  <conditionalFormatting sqref="A445:I445">
    <cfRule type="expression" priority="444" dxfId="0">
      <formula>$H445="YES"</formula>
    </cfRule>
  </conditionalFormatting>
  <conditionalFormatting sqref="A446:I446">
    <cfRule type="expression" priority="445" dxfId="0">
      <formula>$H446="YES"</formula>
    </cfRule>
  </conditionalFormatting>
  <conditionalFormatting sqref="A447:I447">
    <cfRule type="expression" priority="446" dxfId="0">
      <formula>$H447="YES"</formula>
    </cfRule>
  </conditionalFormatting>
  <conditionalFormatting sqref="A448:I448">
    <cfRule type="expression" priority="447" dxfId="0">
      <formula>$H448="YES"</formula>
    </cfRule>
  </conditionalFormatting>
  <conditionalFormatting sqref="A449:I449">
    <cfRule type="expression" priority="448" dxfId="0">
      <formula>$H449="YES"</formula>
    </cfRule>
  </conditionalFormatting>
  <conditionalFormatting sqref="A450:I450">
    <cfRule type="expression" priority="449" dxfId="0">
      <formula>$H450="YES"</formula>
    </cfRule>
  </conditionalFormatting>
  <conditionalFormatting sqref="A451:I451">
    <cfRule type="expression" priority="450" dxfId="0">
      <formula>$H451="YES"</formula>
    </cfRule>
  </conditionalFormatting>
  <conditionalFormatting sqref="A452:I452">
    <cfRule type="expression" priority="451" dxfId="0">
      <formula>$H452="YES"</formula>
    </cfRule>
  </conditionalFormatting>
  <conditionalFormatting sqref="A453:I453">
    <cfRule type="expression" priority="452" dxfId="0">
      <formula>$H453="YES"</formula>
    </cfRule>
  </conditionalFormatting>
  <conditionalFormatting sqref="A454:I454">
    <cfRule type="expression" priority="453" dxfId="0">
      <formula>$H454="YES"</formula>
    </cfRule>
  </conditionalFormatting>
  <conditionalFormatting sqref="A455:I455">
    <cfRule type="expression" priority="454" dxfId="0">
      <formula>$H455="YES"</formula>
    </cfRule>
  </conditionalFormatting>
  <conditionalFormatting sqref="A456:I456">
    <cfRule type="expression" priority="455" dxfId="0">
      <formula>$H456="YES"</formula>
    </cfRule>
  </conditionalFormatting>
  <conditionalFormatting sqref="A457:I457">
    <cfRule type="expression" priority="456" dxfId="0">
      <formula>$H457="YES"</formula>
    </cfRule>
  </conditionalFormatting>
  <conditionalFormatting sqref="A458:I458">
    <cfRule type="expression" priority="457" dxfId="0">
      <formula>$H458="YES"</formula>
    </cfRule>
  </conditionalFormatting>
  <conditionalFormatting sqref="A459:I459">
    <cfRule type="expression" priority="458" dxfId="0">
      <formula>$H459="YES"</formula>
    </cfRule>
  </conditionalFormatting>
  <conditionalFormatting sqref="A460:I460">
    <cfRule type="expression" priority="459" dxfId="0">
      <formula>$H460="YES"</formula>
    </cfRule>
  </conditionalFormatting>
  <conditionalFormatting sqref="A461:I461">
    <cfRule type="expression" priority="460" dxfId="0">
      <formula>$H461="YES"</formula>
    </cfRule>
  </conditionalFormatting>
  <conditionalFormatting sqref="A462:I462">
    <cfRule type="expression" priority="461" dxfId="0">
      <formula>$H462="YES"</formula>
    </cfRule>
  </conditionalFormatting>
  <conditionalFormatting sqref="A463:I463">
    <cfRule type="expression" priority="462" dxfId="0">
      <formula>$H463="YES"</formula>
    </cfRule>
  </conditionalFormatting>
  <conditionalFormatting sqref="A464:I464">
    <cfRule type="expression" priority="463" dxfId="0">
      <formula>$H464="YES"</formula>
    </cfRule>
  </conditionalFormatting>
  <conditionalFormatting sqref="A465:I465">
    <cfRule type="expression" priority="464" dxfId="0">
      <formula>$H465="YES"</formula>
    </cfRule>
  </conditionalFormatting>
  <conditionalFormatting sqref="A466:I466">
    <cfRule type="expression" priority="465" dxfId="0">
      <formula>$H466="YES"</formula>
    </cfRule>
  </conditionalFormatting>
  <conditionalFormatting sqref="A467:I467">
    <cfRule type="expression" priority="466" dxfId="0">
      <formula>$H467="YES"</formula>
    </cfRule>
  </conditionalFormatting>
  <conditionalFormatting sqref="A468:I468">
    <cfRule type="expression" priority="467" dxfId="0">
      <formula>$H468="YES"</formula>
    </cfRule>
  </conditionalFormatting>
  <conditionalFormatting sqref="A469:I469">
    <cfRule type="expression" priority="468" dxfId="0">
      <formula>$H469="YES"</formula>
    </cfRule>
  </conditionalFormatting>
  <conditionalFormatting sqref="A470:I470">
    <cfRule type="expression" priority="469" dxfId="0">
      <formula>$H470="YES"</formula>
    </cfRule>
  </conditionalFormatting>
  <conditionalFormatting sqref="A471:I471">
    <cfRule type="expression" priority="470" dxfId="0">
      <formula>$H471="YES"</formula>
    </cfRule>
  </conditionalFormatting>
  <conditionalFormatting sqref="A472:I472">
    <cfRule type="expression" priority="471" dxfId="0">
      <formula>$H472="YES"</formula>
    </cfRule>
  </conditionalFormatting>
  <conditionalFormatting sqref="A473:I473">
    <cfRule type="expression" priority="472" dxfId="0">
      <formula>$H473="YES"</formula>
    </cfRule>
  </conditionalFormatting>
  <conditionalFormatting sqref="A474:I474">
    <cfRule type="expression" priority="473" dxfId="0">
      <formula>$H474="YES"</formula>
    </cfRule>
  </conditionalFormatting>
  <conditionalFormatting sqref="A475:I475">
    <cfRule type="expression" priority="474" dxfId="0">
      <formula>$H475="YES"</formula>
    </cfRule>
  </conditionalFormatting>
  <conditionalFormatting sqref="A476:I476">
    <cfRule type="expression" priority="475" dxfId="0">
      <formula>$H476="YES"</formula>
    </cfRule>
  </conditionalFormatting>
  <conditionalFormatting sqref="A477:I477">
    <cfRule type="expression" priority="476" dxfId="0">
      <formula>$H477="YES"</formula>
    </cfRule>
  </conditionalFormatting>
  <conditionalFormatting sqref="A478:I478">
    <cfRule type="expression" priority="477" dxfId="0">
      <formula>$H478="YES"</formula>
    </cfRule>
  </conditionalFormatting>
  <conditionalFormatting sqref="A479:I479">
    <cfRule type="expression" priority="478" dxfId="0">
      <formula>$H479="YES"</formula>
    </cfRule>
  </conditionalFormatting>
  <conditionalFormatting sqref="A480:I480">
    <cfRule type="expression" priority="479" dxfId="0">
      <formula>$H480="YES"</formula>
    </cfRule>
  </conditionalFormatting>
  <conditionalFormatting sqref="A481:I481">
    <cfRule type="expression" priority="480" dxfId="0">
      <formula>$H481="YES"</formula>
    </cfRule>
  </conditionalFormatting>
  <conditionalFormatting sqref="A482:I482">
    <cfRule type="expression" priority="481" dxfId="0">
      <formula>$H482="YES"</formula>
    </cfRule>
  </conditionalFormatting>
  <conditionalFormatting sqref="A483:I483">
    <cfRule type="expression" priority="482" dxfId="0">
      <formula>$H483="YES"</formula>
    </cfRule>
  </conditionalFormatting>
  <conditionalFormatting sqref="A484:I484">
    <cfRule type="expression" priority="483" dxfId="0">
      <formula>$H484="YES"</formula>
    </cfRule>
  </conditionalFormatting>
  <conditionalFormatting sqref="A485:I485">
    <cfRule type="expression" priority="484" dxfId="0">
      <formula>$H485="YES"</formula>
    </cfRule>
  </conditionalFormatting>
  <conditionalFormatting sqref="A486:I486">
    <cfRule type="expression" priority="485" dxfId="0">
      <formula>$H486="YES"</formula>
    </cfRule>
  </conditionalFormatting>
  <conditionalFormatting sqref="A487:I487">
    <cfRule type="expression" priority="486" dxfId="0">
      <formula>$H487="YES"</formula>
    </cfRule>
  </conditionalFormatting>
  <conditionalFormatting sqref="A488:I488">
    <cfRule type="expression" priority="487" dxfId="0">
      <formula>$H488="YES"</formula>
    </cfRule>
  </conditionalFormatting>
  <conditionalFormatting sqref="A489:I489">
    <cfRule type="expression" priority="488" dxfId="0">
      <formula>$H489="YES"</formula>
    </cfRule>
  </conditionalFormatting>
  <conditionalFormatting sqref="A490:I490">
    <cfRule type="expression" priority="489" dxfId="0">
      <formula>$H490="YES"</formula>
    </cfRule>
  </conditionalFormatting>
  <conditionalFormatting sqref="A491:I491">
    <cfRule type="expression" priority="490" dxfId="0">
      <formula>$H491="YES"</formula>
    </cfRule>
  </conditionalFormatting>
  <conditionalFormatting sqref="A492:I492">
    <cfRule type="expression" priority="491" dxfId="0">
      <formula>$H492="YES"</formula>
    </cfRule>
  </conditionalFormatting>
  <conditionalFormatting sqref="A493:I493">
    <cfRule type="expression" priority="492" dxfId="0">
      <formula>$H493="YES"</formula>
    </cfRule>
  </conditionalFormatting>
  <conditionalFormatting sqref="A494:I494">
    <cfRule type="expression" priority="493" dxfId="0">
      <formula>$H494="YES"</formula>
    </cfRule>
  </conditionalFormatting>
  <conditionalFormatting sqref="A495:I495">
    <cfRule type="expression" priority="494" dxfId="0">
      <formula>$H495="YES"</formula>
    </cfRule>
  </conditionalFormatting>
  <conditionalFormatting sqref="A496:I496">
    <cfRule type="expression" priority="495" dxfId="0">
      <formula>$H496="YES"</formula>
    </cfRule>
  </conditionalFormatting>
  <conditionalFormatting sqref="A497:I497">
    <cfRule type="expression" priority="496" dxfId="0">
      <formula>$H497="YES"</formula>
    </cfRule>
  </conditionalFormatting>
  <conditionalFormatting sqref="A498:I498">
    <cfRule type="expression" priority="497" dxfId="0">
      <formula>$H498="YES"</formula>
    </cfRule>
  </conditionalFormatting>
  <conditionalFormatting sqref="A499:I499">
    <cfRule type="expression" priority="498" dxfId="0">
      <formula>$H499="YES"</formula>
    </cfRule>
  </conditionalFormatting>
  <conditionalFormatting sqref="A500:I500">
    <cfRule type="expression" priority="499" dxfId="0">
      <formula>$H500="YES"</formula>
    </cfRule>
  </conditionalFormatting>
  <conditionalFormatting sqref="A501:I501">
    <cfRule type="expression" priority="500" dxfId="0">
      <formula>$H501="YES"</formula>
    </cfRule>
  </conditionalFormatting>
  <conditionalFormatting sqref="A502:I502">
    <cfRule type="expression" priority="501" dxfId="0">
      <formula>$H502="YES"</formula>
    </cfRule>
  </conditionalFormatting>
  <conditionalFormatting sqref="A503:I503">
    <cfRule type="expression" priority="502" dxfId="0">
      <formula>$H503="YES"</formula>
    </cfRule>
  </conditionalFormatting>
  <conditionalFormatting sqref="A504:I504">
    <cfRule type="expression" priority="503" dxfId="0">
      <formula>$H504="YES"</formula>
    </cfRule>
  </conditionalFormatting>
  <conditionalFormatting sqref="A505:I505">
    <cfRule type="expression" priority="504" dxfId="0">
      <formula>$H505="YES"</formula>
    </cfRule>
  </conditionalFormatting>
  <conditionalFormatting sqref="A506:I506">
    <cfRule type="expression" priority="505" dxfId="0">
      <formula>$H506="YES"</formula>
    </cfRule>
  </conditionalFormatting>
  <conditionalFormatting sqref="A507:I507">
    <cfRule type="expression" priority="506" dxfId="0">
      <formula>$H507="YES"</formula>
    </cfRule>
  </conditionalFormatting>
  <conditionalFormatting sqref="A508:I508">
    <cfRule type="expression" priority="507" dxfId="0">
      <formula>$H508="YES"</formula>
    </cfRule>
  </conditionalFormatting>
  <conditionalFormatting sqref="A509:I509">
    <cfRule type="expression" priority="508" dxfId="0">
      <formula>$H509="YES"</formula>
    </cfRule>
  </conditionalFormatting>
  <conditionalFormatting sqref="A510:I510">
    <cfRule type="expression" priority="509" dxfId="0">
      <formula>$H510="YES"</formula>
    </cfRule>
  </conditionalFormatting>
  <conditionalFormatting sqref="A511:I511">
    <cfRule type="expression" priority="510" dxfId="0">
      <formula>$H511="YES"</formula>
    </cfRule>
  </conditionalFormatting>
  <conditionalFormatting sqref="A512:I512">
    <cfRule type="expression" priority="511" dxfId="0">
      <formula>$H512="YES"</formula>
    </cfRule>
  </conditionalFormatting>
  <conditionalFormatting sqref="A513:I513">
    <cfRule type="expression" priority="512" dxfId="0">
      <formula>$H513="YES"</formula>
    </cfRule>
  </conditionalFormatting>
  <conditionalFormatting sqref="A514:I514">
    <cfRule type="expression" priority="513" dxfId="0">
      <formula>$H514="YES"</formula>
    </cfRule>
  </conditionalFormatting>
  <conditionalFormatting sqref="A515:I515">
    <cfRule type="expression" priority="514" dxfId="0">
      <formula>$H515="YES"</formula>
    </cfRule>
  </conditionalFormatting>
  <conditionalFormatting sqref="A516:I516">
    <cfRule type="expression" priority="515" dxfId="0">
      <formula>$H516="YES"</formula>
    </cfRule>
  </conditionalFormatting>
  <conditionalFormatting sqref="A517:I517">
    <cfRule type="expression" priority="516" dxfId="0">
      <formula>$H517="YES"</formula>
    </cfRule>
  </conditionalFormatting>
  <conditionalFormatting sqref="A518:I518">
    <cfRule type="expression" priority="517" dxfId="0">
      <formula>$H518="YES"</formula>
    </cfRule>
  </conditionalFormatting>
  <conditionalFormatting sqref="A519:I519">
    <cfRule type="expression" priority="518" dxfId="0">
      <formula>$H519="YES"</formula>
    </cfRule>
  </conditionalFormatting>
  <conditionalFormatting sqref="A520:I520">
    <cfRule type="expression" priority="519" dxfId="0">
      <formula>$H520="YES"</formula>
    </cfRule>
  </conditionalFormatting>
  <conditionalFormatting sqref="A521:I521">
    <cfRule type="expression" priority="520" dxfId="0">
      <formula>$H521="YES"</formula>
    </cfRule>
  </conditionalFormatting>
  <conditionalFormatting sqref="A522:I522">
    <cfRule type="expression" priority="521" dxfId="0">
      <formula>$H522="YES"</formula>
    </cfRule>
  </conditionalFormatting>
  <conditionalFormatting sqref="A523:I523">
    <cfRule type="expression" priority="522" dxfId="0">
      <formula>$H523="YES"</formula>
    </cfRule>
  </conditionalFormatting>
  <conditionalFormatting sqref="A524:I524">
    <cfRule type="expression" priority="523" dxfId="0">
      <formula>$H524="YES"</formula>
    </cfRule>
  </conditionalFormatting>
  <conditionalFormatting sqref="A525:I525">
    <cfRule type="expression" priority="524" dxfId="0">
      <formula>$H525="YES"</formula>
    </cfRule>
  </conditionalFormatting>
  <conditionalFormatting sqref="A526:I526">
    <cfRule type="expression" priority="525" dxfId="0">
      <formula>$H526="YES"</formula>
    </cfRule>
  </conditionalFormatting>
  <conditionalFormatting sqref="A527:I527">
    <cfRule type="expression" priority="526" dxfId="0">
      <formula>$H527="YES"</formula>
    </cfRule>
  </conditionalFormatting>
  <conditionalFormatting sqref="A528:I528">
    <cfRule type="expression" priority="527" dxfId="0">
      <formula>$H528="YES"</formula>
    </cfRule>
  </conditionalFormatting>
  <conditionalFormatting sqref="A529:I529">
    <cfRule type="expression" priority="528" dxfId="0">
      <formula>$H529="YES"</formula>
    </cfRule>
  </conditionalFormatting>
  <conditionalFormatting sqref="A530:I530">
    <cfRule type="expression" priority="529" dxfId="0">
      <formula>$H530="YES"</formula>
    </cfRule>
  </conditionalFormatting>
  <conditionalFormatting sqref="A531:I531">
    <cfRule type="expression" priority="530" dxfId="0">
      <formula>$H531="YES"</formula>
    </cfRule>
  </conditionalFormatting>
  <conditionalFormatting sqref="A532:I532">
    <cfRule type="expression" priority="531" dxfId="0">
      <formula>$H532="YES"</formula>
    </cfRule>
  </conditionalFormatting>
  <conditionalFormatting sqref="A533:I533">
    <cfRule type="expression" priority="532" dxfId="0">
      <formula>$H533="YES"</formula>
    </cfRule>
  </conditionalFormatting>
  <conditionalFormatting sqref="A534:I534">
    <cfRule type="expression" priority="533" dxfId="0">
      <formula>$H534="YES"</formula>
    </cfRule>
  </conditionalFormatting>
  <conditionalFormatting sqref="A535:I535">
    <cfRule type="expression" priority="534" dxfId="0">
      <formula>$H535="YES"</formula>
    </cfRule>
  </conditionalFormatting>
  <conditionalFormatting sqref="A536:I536">
    <cfRule type="expression" priority="535" dxfId="0">
      <formula>$H536="YES"</formula>
    </cfRule>
  </conditionalFormatting>
  <conditionalFormatting sqref="A537:I537">
    <cfRule type="expression" priority="536" dxfId="0">
      <formula>$H537="YES"</formula>
    </cfRule>
  </conditionalFormatting>
  <conditionalFormatting sqref="A538:I538">
    <cfRule type="expression" priority="537" dxfId="0">
      <formula>$H538="YES"</formula>
    </cfRule>
  </conditionalFormatting>
  <conditionalFormatting sqref="A539:I539">
    <cfRule type="expression" priority="538" dxfId="0">
      <formula>$H539="YES"</formula>
    </cfRule>
  </conditionalFormatting>
  <conditionalFormatting sqref="A540:I540">
    <cfRule type="expression" priority="539" dxfId="0">
      <formula>$H540="YES"</formula>
    </cfRule>
  </conditionalFormatting>
  <conditionalFormatting sqref="A541:I541">
    <cfRule type="expression" priority="540" dxfId="0">
      <formula>$H541="YES"</formula>
    </cfRule>
  </conditionalFormatting>
  <conditionalFormatting sqref="A542:I542">
    <cfRule type="expression" priority="541" dxfId="0">
      <formula>$H542="YES"</formula>
    </cfRule>
  </conditionalFormatting>
  <conditionalFormatting sqref="A543:I543">
    <cfRule type="expression" priority="542" dxfId="0">
      <formula>$H543="YES"</formula>
    </cfRule>
  </conditionalFormatting>
  <conditionalFormatting sqref="A544:I544">
    <cfRule type="expression" priority="543" dxfId="0">
      <formula>$H544="YES"</formula>
    </cfRule>
  </conditionalFormatting>
  <conditionalFormatting sqref="A545:I545">
    <cfRule type="expression" priority="544" dxfId="0">
      <formula>$H545="YES"</formula>
    </cfRule>
  </conditionalFormatting>
  <conditionalFormatting sqref="A546:I546">
    <cfRule type="expression" priority="545" dxfId="0">
      <formula>$H546="YES"</formula>
    </cfRule>
  </conditionalFormatting>
  <conditionalFormatting sqref="A547:I547">
    <cfRule type="expression" priority="546" dxfId="0">
      <formula>$H547="YES"</formula>
    </cfRule>
  </conditionalFormatting>
  <conditionalFormatting sqref="A548:I548">
    <cfRule type="expression" priority="547" dxfId="0">
      <formula>$H548="YES"</formula>
    </cfRule>
  </conditionalFormatting>
  <conditionalFormatting sqref="A549:I549">
    <cfRule type="expression" priority="548" dxfId="0">
      <formula>$H549="YES"</formula>
    </cfRule>
  </conditionalFormatting>
  <conditionalFormatting sqref="A550:I550">
    <cfRule type="expression" priority="549" dxfId="0">
      <formula>$H550="YES"</formula>
    </cfRule>
  </conditionalFormatting>
  <conditionalFormatting sqref="A551:I551">
    <cfRule type="expression" priority="550" dxfId="0">
      <formula>$H551="YES"</formula>
    </cfRule>
  </conditionalFormatting>
  <conditionalFormatting sqref="A552:I552">
    <cfRule type="expression" priority="551" dxfId="0">
      <formula>$H552="YES"</formula>
    </cfRule>
  </conditionalFormatting>
  <conditionalFormatting sqref="A553:I553">
    <cfRule type="expression" priority="552" dxfId="0">
      <formula>$H553="YES"</formula>
    </cfRule>
  </conditionalFormatting>
  <conditionalFormatting sqref="A554:I554">
    <cfRule type="expression" priority="553" dxfId="0">
      <formula>$H554="YES"</formula>
    </cfRule>
  </conditionalFormatting>
  <conditionalFormatting sqref="A555:I555">
    <cfRule type="expression" priority="554" dxfId="0">
      <formula>$H555="YES"</formula>
    </cfRule>
  </conditionalFormatting>
  <conditionalFormatting sqref="A556:I556">
    <cfRule type="expression" priority="555" dxfId="0">
      <formula>$H556="YES"</formula>
    </cfRule>
  </conditionalFormatting>
  <conditionalFormatting sqref="A557:I557">
    <cfRule type="expression" priority="556" dxfId="0">
      <formula>$H557="YES"</formula>
    </cfRule>
  </conditionalFormatting>
  <conditionalFormatting sqref="A558:I558">
    <cfRule type="expression" priority="557" dxfId="0">
      <formula>$H558="YES"</formula>
    </cfRule>
  </conditionalFormatting>
  <conditionalFormatting sqref="A559:I559">
    <cfRule type="expression" priority="558" dxfId="0">
      <formula>$H559="YES"</formula>
    </cfRule>
  </conditionalFormatting>
  <conditionalFormatting sqref="A560:I560">
    <cfRule type="expression" priority="559" dxfId="0">
      <formula>$H560="YES"</formula>
    </cfRule>
  </conditionalFormatting>
  <conditionalFormatting sqref="A561:I561">
    <cfRule type="expression" priority="560" dxfId="0">
      <formula>$H561="YES"</formula>
    </cfRule>
  </conditionalFormatting>
  <conditionalFormatting sqref="A562:I562">
    <cfRule type="expression" priority="561" dxfId="0">
      <formula>$H562="YES"</formula>
    </cfRule>
  </conditionalFormatting>
  <conditionalFormatting sqref="A563:I563">
    <cfRule type="expression" priority="562" dxfId="0">
      <formula>$H563="YES"</formula>
    </cfRule>
  </conditionalFormatting>
  <conditionalFormatting sqref="A564:I564">
    <cfRule type="expression" priority="563" dxfId="0">
      <formula>$H564="YES"</formula>
    </cfRule>
  </conditionalFormatting>
  <conditionalFormatting sqref="A565:I565">
    <cfRule type="expression" priority="564" dxfId="0">
      <formula>$H565="YES"</formula>
    </cfRule>
  </conditionalFormatting>
  <conditionalFormatting sqref="A566:I566">
    <cfRule type="expression" priority="565" dxfId="0">
      <formula>$H566="YES"</formula>
    </cfRule>
  </conditionalFormatting>
  <conditionalFormatting sqref="A567:I567">
    <cfRule type="expression" priority="566" dxfId="0">
      <formula>$H567="YES"</formula>
    </cfRule>
  </conditionalFormatting>
  <conditionalFormatting sqref="A568:I568">
    <cfRule type="expression" priority="567" dxfId="0">
      <formula>$H568="YES"</formula>
    </cfRule>
  </conditionalFormatting>
  <conditionalFormatting sqref="A569:I569">
    <cfRule type="expression" priority="568" dxfId="0">
      <formula>$H569="YES"</formula>
    </cfRule>
  </conditionalFormatting>
  <conditionalFormatting sqref="A570:I570">
    <cfRule type="expression" priority="569" dxfId="0">
      <formula>$H570="YES"</formula>
    </cfRule>
  </conditionalFormatting>
  <conditionalFormatting sqref="A571:I571">
    <cfRule type="expression" priority="570" dxfId="0">
      <formula>$H571="YES"</formula>
    </cfRule>
  </conditionalFormatting>
  <conditionalFormatting sqref="A572:I572">
    <cfRule type="expression" priority="571" dxfId="0">
      <formula>$H572="YES"</formula>
    </cfRule>
  </conditionalFormatting>
  <conditionalFormatting sqref="A573:I573">
    <cfRule type="expression" priority="572" dxfId="0">
      <formula>$H573="YES"</formula>
    </cfRule>
  </conditionalFormatting>
  <conditionalFormatting sqref="A574:I574">
    <cfRule type="expression" priority="573" dxfId="0">
      <formula>$H574="YES"</formula>
    </cfRule>
  </conditionalFormatting>
  <conditionalFormatting sqref="A575:I575">
    <cfRule type="expression" priority="574" dxfId="0">
      <formula>$H575="YES"</formula>
    </cfRule>
  </conditionalFormatting>
  <conditionalFormatting sqref="A576:I576">
    <cfRule type="expression" priority="575" dxfId="0">
      <formula>$H576="YES"</formula>
    </cfRule>
  </conditionalFormatting>
  <dataValidations count="3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0" type="list">
      <formula1>"Revenue,COGS,Expense,Non-Deductible"</formula1>
    </dataValidation>
    <dataValidation sqref="I2:I576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 PRO METRO EAST CONSTRUCTION LLC - Profit &amp; Loss 2025</t>
        </is>
      </c>
      <c r="B1" t="inlineStr"/>
    </row>
    <row r="2">
      <c r="A2" t="inlineStr"/>
      <c r="B2" t="inlineStr"/>
    </row>
    <row r="3">
      <c r="A3" s="1" t="inlineStr">
        <is>
          <t>Revenue</t>
        </is>
      </c>
      <c r="B3" s="2">
        <f>SUMIFS(CATEGORIZED_2025!$C:$C,CATEGORIZED_2025!$G:$G,"Revenue")</f>
        <v/>
      </c>
    </row>
    <row r="4">
      <c r="A4" s="1" t="inlineStr">
        <is>
          <t>COGS</t>
        </is>
      </c>
      <c r="B4" s="2">
        <f>SUMIFS(CATEGORIZED_2025!$C:$C,CATEGORIZED_2025!$G:$G,"COGS")</f>
        <v/>
      </c>
    </row>
    <row r="5">
      <c r="A5" s="1" t="inlineStr">
        <is>
          <t>Expenses</t>
        </is>
      </c>
      <c r="B5" s="2">
        <f>SUMIFS(CATEGORIZED_2025!$C:$C,CATEGORIZED_2025!$G:$G,"Expense")</f>
        <v/>
      </c>
    </row>
    <row r="6">
      <c r="A6" s="1" t="inlineStr">
        <is>
          <t>Non-Deductible</t>
        </is>
      </c>
      <c r="B6" s="2">
        <f>SUMIFS(CATEGORIZED_2025!$C:$C,CATEGORIZED_2025!$G:$G,"Non-Deductible")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COUNTIF(CATEGORIZED_2025!$H:$H,"YES")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SUMPRODUCT((CATEGORIZED_2025!$G$2:$G$200000="Revenue")*(TEXT(CATEGORIZED_2025!$A$2:$A$200000,"yyyy-mm")="2025-01")*CATEGORIZED_2025!$C$2:$C$200000)</f>
        <v/>
      </c>
      <c r="C2" s="2">
        <f>SUMPRODUCT((CATEGORIZED_2025!$G$2:$G$200000="COGS")*(TEXT(CATEGORIZED_2025!$A$2:$A$200000,"yyyy-mm")="2025-01")*CATEGORIZED_2025!$C$2:$C$200000)</f>
        <v/>
      </c>
      <c r="D2" s="2">
        <f>SUMPRODUCT((CATEGORIZED_2025!$G$2:$G$200000="Expense")*(TEXT(CATEGORIZED_2025!$A$2:$A$200000,"yyyy-mm")="2025-01")*CATEGORIZED_2025!$C$2:$C$200000)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SUMPRODUCT((CATEGORIZED_2025!$G$2:$G$200000="Revenue")*(TEXT(CATEGORIZED_2025!$A$2:$A$200000,"yyyy-mm")="2025-02")*CATEGORIZED_2025!$C$2:$C$200000)</f>
        <v/>
      </c>
      <c r="C3" s="2">
        <f>SUMPRODUCT((CATEGORIZED_2025!$G$2:$G$200000="COGS")*(TEXT(CATEGORIZED_2025!$A$2:$A$200000,"yyyy-mm")="2025-02")*CATEGORIZED_2025!$C$2:$C$200000)</f>
        <v/>
      </c>
      <c r="D3" s="2">
        <f>SUMPRODUCT((CATEGORIZED_2025!$G$2:$G$200000="Expense")*(TEXT(CATEGORIZED_2025!$A$2:$A$200000,"yyyy-mm")="2025-02")*CATEGORIZED_2025!$C$2:$C$200000)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SUMPRODUCT((CATEGORIZED_2025!$G$2:$G$200000="Revenue")*(TEXT(CATEGORIZED_2025!$A$2:$A$200000,"yyyy-mm")="2025-03")*CATEGORIZED_2025!$C$2:$C$200000)</f>
        <v/>
      </c>
      <c r="C4" s="2">
        <f>SUMPRODUCT((CATEGORIZED_2025!$G$2:$G$200000="COGS")*(TEXT(CATEGORIZED_2025!$A$2:$A$200000,"yyyy-mm")="2025-03")*CATEGORIZED_2025!$C$2:$C$200000)</f>
        <v/>
      </c>
      <c r="D4" s="2">
        <f>SUMPRODUCT((CATEGORIZED_2025!$G$2:$G$200000="Expense")*(TEXT(CATEGORIZED_2025!$A$2:$A$200000,"yyyy-mm")="2025-03")*CATEGORIZED_2025!$C$2:$C$200000)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SUMPRODUCT((CATEGORIZED_2025!$G$2:$G$200000="Revenue")*(TEXT(CATEGORIZED_2025!$A$2:$A$200000,"yyyy-mm")="2025-04")*CATEGORIZED_2025!$C$2:$C$200000)</f>
        <v/>
      </c>
      <c r="C5" s="2">
        <f>SUMPRODUCT((CATEGORIZED_2025!$G$2:$G$200000="COGS")*(TEXT(CATEGORIZED_2025!$A$2:$A$200000,"yyyy-mm")="2025-04")*CATEGORIZED_2025!$C$2:$C$200000)</f>
        <v/>
      </c>
      <c r="D5" s="2">
        <f>SUMPRODUCT((CATEGORIZED_2025!$G$2:$G$200000="Expense")*(TEXT(CATEGORIZED_2025!$A$2:$A$200000,"yyyy-mm")="2025-04")*CATEGORIZED_2025!$C$2:$C$200000)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SUMPRODUCT((CATEGORIZED_2025!$G$2:$G$200000="Revenue")*(TEXT(CATEGORIZED_2025!$A$2:$A$200000,"yyyy-mm")="2025-05")*CATEGORIZED_2025!$C$2:$C$200000)</f>
        <v/>
      </c>
      <c r="C6" s="2">
        <f>SUMPRODUCT((CATEGORIZED_2025!$G$2:$G$200000="COGS")*(TEXT(CATEGORIZED_2025!$A$2:$A$200000,"yyyy-mm")="2025-05")*CATEGORIZED_2025!$C$2:$C$200000)</f>
        <v/>
      </c>
      <c r="D6" s="2">
        <f>SUMPRODUCT((CATEGORIZED_2025!$G$2:$G$200000="Expense")*(TEXT(CATEGORIZED_2025!$A$2:$A$200000,"yyyy-mm")="2025-05")*CATEGORIZED_2025!$C$2:$C$200000)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SUMPRODUCT((CATEGORIZED_2025!$G$2:$G$200000="Revenue")*(TEXT(CATEGORIZED_2025!$A$2:$A$200000,"yyyy-mm")="2025-06")*CATEGORIZED_2025!$C$2:$C$200000)</f>
        <v/>
      </c>
      <c r="C7" s="2">
        <f>SUMPRODUCT((CATEGORIZED_2025!$G$2:$G$200000="COGS")*(TEXT(CATEGORIZED_2025!$A$2:$A$200000,"yyyy-mm")="2025-06")*CATEGORIZED_2025!$C$2:$C$200000)</f>
        <v/>
      </c>
      <c r="D7" s="2">
        <f>SUMPRODUCT((CATEGORIZED_2025!$G$2:$G$200000="Expense")*(TEXT(CATEGORIZED_2025!$A$2:$A$200000,"yyyy-mm")="2025-06")*CATEGORIZED_2025!$C$2:$C$200000)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SUMPRODUCT((CATEGORIZED_2025!$G$2:$G$200000="Revenue")*(TEXT(CATEGORIZED_2025!$A$2:$A$200000,"yyyy-mm")="2025-07")*CATEGORIZED_2025!$C$2:$C$200000)</f>
        <v/>
      </c>
      <c r="C8" s="2">
        <f>SUMPRODUCT((CATEGORIZED_2025!$G$2:$G$200000="COGS")*(TEXT(CATEGORIZED_2025!$A$2:$A$200000,"yyyy-mm")="2025-07")*CATEGORIZED_2025!$C$2:$C$200000)</f>
        <v/>
      </c>
      <c r="D8" s="2">
        <f>SUMPRODUCT((CATEGORIZED_2025!$G$2:$G$200000="Expense")*(TEXT(CATEGORIZED_2025!$A$2:$A$200000,"yyyy-mm")="2025-07")*CATEGORIZED_2025!$C$2:$C$200000)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SUMPRODUCT((CATEGORIZED_2025!$G$2:$G$200000="Revenue")*(TEXT(CATEGORIZED_2025!$A$2:$A$200000,"yyyy-mm")="2025-08")*CATEGORIZED_2025!$C$2:$C$200000)</f>
        <v/>
      </c>
      <c r="C9" s="2">
        <f>SUMPRODUCT((CATEGORIZED_2025!$G$2:$G$200000="COGS")*(TEXT(CATEGORIZED_2025!$A$2:$A$200000,"yyyy-mm")="2025-08")*CATEGORIZED_2025!$C$2:$C$200000)</f>
        <v/>
      </c>
      <c r="D9" s="2">
        <f>SUMPRODUCT((CATEGORIZED_2025!$G$2:$G$200000="Expense")*(TEXT(CATEGORIZED_2025!$A$2:$A$200000,"yyyy-mm")="2025-08")*CATEGORIZED_2025!$C$2:$C$200000)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SUMPRODUCT((CATEGORIZED_2025!$G$2:$G$200000="Revenue")*(TEXT(CATEGORIZED_2025!$A$2:$A$200000,"yyyy-mm")="2025-09")*CATEGORIZED_2025!$C$2:$C$200000)</f>
        <v/>
      </c>
      <c r="C10" s="2">
        <f>SUMPRODUCT((CATEGORIZED_2025!$G$2:$G$200000="COGS")*(TEXT(CATEGORIZED_2025!$A$2:$A$200000,"yyyy-mm")="2025-09")*CATEGORIZED_2025!$C$2:$C$200000)</f>
        <v/>
      </c>
      <c r="D10" s="2">
        <f>SUMPRODUCT((CATEGORIZED_2025!$G$2:$G$200000="Expense")*(TEXT(CATEGORIZED_2025!$A$2:$A$200000,"yyyy-mm")="2025-09")*CATEGORIZED_2025!$C$2:$C$200000)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SUMPRODUCT((CATEGORIZED_2025!$G$2:$G$200000="Revenue")*(TEXT(CATEGORIZED_2025!$A$2:$A$200000,"yyyy-mm")="2025-10")*CATEGORIZED_2025!$C$2:$C$200000)</f>
        <v/>
      </c>
      <c r="C11" s="2">
        <f>SUMPRODUCT((CATEGORIZED_2025!$G$2:$G$200000="COGS")*(TEXT(CATEGORIZED_2025!$A$2:$A$200000,"yyyy-mm")="2025-10")*CATEGORIZED_2025!$C$2:$C$200000)</f>
        <v/>
      </c>
      <c r="D11" s="2">
        <f>SUMPRODUCT((CATEGORIZED_2025!$G$2:$G$200000="Expense")*(TEXT(CATEGORIZED_2025!$A$2:$A$200000,"yyyy-mm")="2025-10")*CATEGORIZED_2025!$C$2:$C$200000)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SUMPRODUCT((CATEGORIZED_2025!$G$2:$G$200000="Revenue")*(TEXT(CATEGORIZED_2025!$A$2:$A$200000,"yyyy-mm")="2025-11")*CATEGORIZED_2025!$C$2:$C$200000)</f>
        <v/>
      </c>
      <c r="C12" s="2">
        <f>SUMPRODUCT((CATEGORIZED_2025!$G$2:$G$200000="COGS")*(TEXT(CATEGORIZED_2025!$A$2:$A$200000,"yyyy-mm")="2025-11")*CATEGORIZED_2025!$C$2:$C$200000)</f>
        <v/>
      </c>
      <c r="D12" s="2">
        <f>SUMPRODUCT((CATEGORIZED_2025!$G$2:$G$200000="Expense")*(TEXT(CATEGORIZED_2025!$A$2:$A$200000,"yyyy-mm")="2025-11")*CATEGORIZED_2025!$C$2:$C$200000)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SUMPRODUCT((CATEGORIZED_2025!$G$2:$G$200000="Revenue")*(TEXT(CATEGORIZED_2025!$A$2:$A$200000,"yyyy-mm")="2025-12")*CATEGORIZED_2025!$C$2:$C$200000)</f>
        <v/>
      </c>
      <c r="C13" s="2">
        <f>SUMPRODUCT((CATEGORIZED_2025!$G$2:$G$200000="COGS")*(TEXT(CATEGORIZED_2025!$A$2:$A$200000,"yyyy-mm")="2025-12")*CATEGORIZED_2025!$C$2:$C$200000)</f>
        <v/>
      </c>
      <c r="D13" s="2">
        <f>SUMPRODUCT((CATEGORIZED_2025!$G$2:$G$200000="Expense")*(TEXT(CATEGORIZED_2025!$A$2:$A$200000,"yyyy-mm")="2025-12")*CATEGORIZED_2025!$C$2:$C$200000)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Payroll</t>
        </is>
      </c>
      <c r="B1" s="4" t="inlineStr">
        <is>
          <t>Total</t>
        </is>
      </c>
    </row>
    <row r="2">
      <c r="A2" t="inlineStr">
        <is>
          <t>Payroll Total</t>
        </is>
      </c>
      <c r="B2" s="2">
        <f>SUMIFS(CATEGORIZED_2025!$C:$C,CATEGORIZED_2025!$E:$E,"Labor")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3" customWidth="1" min="3" max="3"/>
    <col width="10" customWidth="1" min="4" max="4"/>
    <col width="13" customWidth="1" min="5" max="5"/>
    <col width="15" customWidth="1" min="6" max="6"/>
    <col width="15" customWidth="1" min="7" max="7"/>
    <col width="15" customWidth="1" min="8" max="8"/>
    <col width="28" customWidth="1" min="9" max="9"/>
  </cols>
  <sheetData>
    <row r="1">
      <c r="A1" s="7" t="inlineStr">
        <is>
          <t>Manual Override Log - 2025</t>
        </is>
      </c>
    </row>
    <row r="3">
      <c r="A3" s="6" t="inlineStr">
        <is>
          <t>Warning: Changing classification may impact tax reporting. Confirm with tax professional.</t>
        </is>
      </c>
    </row>
    <row r="5">
      <c r="A5" t="inlineStr">
        <is>
          <t>Manual Override Count</t>
        </is>
      </c>
      <c r="B5">
        <f>COUNTIF(CATEGORIZED_2025!$H:$H,"YES")</f>
        <v/>
      </c>
    </row>
    <row r="6">
      <c r="A6" t="inlineStr">
        <is>
          <t>Total Amount in Overridden Transactions</t>
        </is>
      </c>
      <c r="B6" s="2">
        <f>SUMIFS(CATEGORIZED_2025!$C:$C,CATEGORIZED_2025!$H:$H,"YES")</f>
        <v/>
      </c>
    </row>
    <row r="8">
      <c r="A8" s="4" t="inlineStr">
        <is>
          <t>Date</t>
        </is>
      </c>
      <c r="B8" s="4" t="inlineStr">
        <is>
          <t>Description</t>
        </is>
      </c>
      <c r="C8" s="4" t="inlineStr">
        <is>
          <t>Amount</t>
        </is>
      </c>
      <c r="D8" s="4" t="inlineStr">
        <is>
          <t>Type</t>
        </is>
      </c>
      <c r="E8" s="4" t="inlineStr">
        <is>
          <t>Category</t>
        </is>
      </c>
      <c r="F8" s="4" t="inlineStr">
        <is>
          <t>Original Group</t>
        </is>
      </c>
      <c r="G8" s="4" t="inlineStr">
        <is>
          <t>Final Group</t>
        </is>
      </c>
      <c r="H8" s="4" t="inlineStr">
        <is>
          <t>Manual Override</t>
        </is>
      </c>
      <c r="I8" s="4" t="inlineStr">
        <is>
          <t>Override Note</t>
        </is>
      </c>
    </row>
    <row r="9">
      <c r="A9">
        <f>IFERROR(FILTER(CATEGORIZED_2025!A:I,CATEGORIZED_2025!H:H="YES"),"No manual overrides")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14" customWidth="1" min="3" max="3"/>
    <col width="14" customWidth="1" min="4" max="4"/>
    <col width="20" customWidth="1" min="5" max="5"/>
    <col width="18" customWidth="1" min="6" max="6"/>
    <col width="16" customWidth="1" min="7" max="7"/>
    <col width="19" customWidth="1" min="8" max="8"/>
    <col width="18" customWidth="1" min="9" max="9"/>
    <col width="14" customWidth="1" min="10" max="10"/>
    <col width="14" customWidth="1" min="11" max="11"/>
  </cols>
  <sheetData>
    <row r="1">
      <c r="A1" s="4" t="inlineStr">
        <is>
          <t>Month</t>
        </is>
      </c>
      <c r="B1" s="4" t="inlineStr">
        <is>
          <t>Beginning Balance (Stmt)</t>
        </is>
      </c>
      <c r="C1" s="4" t="inlineStr">
        <is>
          <t>Credits (Stmt)</t>
        </is>
      </c>
      <c r="D1" s="4" t="inlineStr">
        <is>
          <t>Debits (Stmt)</t>
        </is>
      </c>
      <c r="E1" s="4" t="inlineStr">
        <is>
          <t>Expected Ending (Stmt Calc)</t>
        </is>
      </c>
      <c r="F1" s="4" t="inlineStr">
        <is>
          <t>Ending Balance (Stmt)</t>
        </is>
      </c>
      <c r="G1" s="4" t="inlineStr">
        <is>
          <t>Statement Variance</t>
        </is>
      </c>
      <c r="H1" s="4" t="inlineStr">
        <is>
          <t>Credits Counted (Workbook)</t>
        </is>
      </c>
      <c r="I1" s="4" t="inlineStr">
        <is>
          <t>Debits Counted (Workbook)</t>
        </is>
      </c>
      <c r="J1" s="4" t="inlineStr">
        <is>
          <t>Credits Variance</t>
        </is>
      </c>
      <c r="K1" s="4" t="inlineStr">
        <is>
          <t>Debits Variance</t>
        </is>
      </c>
    </row>
    <row r="2">
      <c r="A2" t="inlineStr">
        <is>
          <t>2025-01</t>
        </is>
      </c>
      <c r="B2" s="2" t="n">
        <v>7932.6</v>
      </c>
      <c r="C2" s="2" t="n">
        <v>46338.58</v>
      </c>
      <c r="D2" s="2" t="n">
        <v>22448.59</v>
      </c>
      <c r="E2" s="2">
        <f>B2+C2-D2</f>
        <v/>
      </c>
      <c r="F2" s="2" t="n">
        <v>31822.59</v>
      </c>
      <c r="G2" s="2">
        <f>F2-E2</f>
        <v/>
      </c>
      <c r="H2" s="2" t="n">
        <v>7113.78</v>
      </c>
      <c r="I2" s="2" t="n">
        <v>22448.59</v>
      </c>
      <c r="J2" s="2">
        <f>H2-C2</f>
        <v/>
      </c>
      <c r="K2" s="2">
        <f>I2-D2</f>
        <v/>
      </c>
    </row>
    <row r="3">
      <c r="A3" t="inlineStr">
        <is>
          <t>2025-02</t>
        </is>
      </c>
      <c r="B3" s="2" t="n">
        <v>31822.59</v>
      </c>
      <c r="C3" s="2" t="n">
        <v>17843.24</v>
      </c>
      <c r="D3" s="2" t="n">
        <v>34655.38</v>
      </c>
      <c r="E3" s="2">
        <f>B3+C3-D3</f>
        <v/>
      </c>
      <c r="F3" s="2" t="n">
        <v>13510.45</v>
      </c>
      <c r="G3" s="2">
        <f>F3-E3</f>
        <v/>
      </c>
      <c r="H3" s="2" t="n">
        <v>0</v>
      </c>
      <c r="I3" s="2" t="n">
        <v>34655.38</v>
      </c>
      <c r="J3" s="2">
        <f>H3-C3</f>
        <v/>
      </c>
      <c r="K3" s="2">
        <f>I3-D3</f>
        <v/>
      </c>
    </row>
    <row r="4">
      <c r="A4" t="inlineStr">
        <is>
          <t>2025-03</t>
        </is>
      </c>
      <c r="B4" s="2" t="n">
        <v>0</v>
      </c>
      <c r="C4" s="2" t="n">
        <v>0</v>
      </c>
      <c r="D4" s="2" t="n">
        <v>0</v>
      </c>
      <c r="E4" s="2">
        <f>B4+C4-D4</f>
        <v/>
      </c>
      <c r="F4" s="2" t="n">
        <v>0</v>
      </c>
      <c r="G4" s="2">
        <f>F4-E4</f>
        <v/>
      </c>
      <c r="H4" s="2" t="n">
        <v>3575</v>
      </c>
      <c r="I4" s="2" t="n">
        <v>26681.06</v>
      </c>
      <c r="J4" s="2">
        <f>H4-C4</f>
        <v/>
      </c>
      <c r="K4" s="2">
        <f>I4-D4</f>
        <v/>
      </c>
    </row>
    <row r="5">
      <c r="A5" t="inlineStr">
        <is>
          <t>2025-04</t>
        </is>
      </c>
      <c r="B5" s="2" t="n">
        <v>0</v>
      </c>
      <c r="C5" s="2" t="n">
        <v>0</v>
      </c>
      <c r="D5" s="2" t="n">
        <v>0</v>
      </c>
      <c r="E5" s="2">
        <f>B5+C5-D5</f>
        <v/>
      </c>
      <c r="F5" s="2" t="n">
        <v>0</v>
      </c>
      <c r="G5" s="2">
        <f>F5-E5</f>
        <v/>
      </c>
      <c r="H5" s="2" t="n">
        <v>15160</v>
      </c>
      <c r="I5" s="2" t="n">
        <v>30344.28</v>
      </c>
      <c r="J5" s="2">
        <f>H5-C5</f>
        <v/>
      </c>
      <c r="K5" s="2">
        <f>I5-D5</f>
        <v/>
      </c>
    </row>
    <row r="6">
      <c r="A6" t="inlineStr">
        <is>
          <t>2025-05</t>
        </is>
      </c>
      <c r="B6" s="2" t="n">
        <v>10293</v>
      </c>
      <c r="C6" s="2" t="n">
        <v>23294.39</v>
      </c>
      <c r="D6" s="2" t="n">
        <v>21764.96</v>
      </c>
      <c r="E6" s="2">
        <f>B6+C6-D6</f>
        <v/>
      </c>
      <c r="F6" s="2" t="n">
        <v>11822.43</v>
      </c>
      <c r="G6" s="2">
        <f>F6-E6</f>
        <v/>
      </c>
      <c r="H6" s="2" t="n">
        <v>99479.81999999999</v>
      </c>
      <c r="I6" s="2" t="n">
        <v>12027.21</v>
      </c>
      <c r="J6" s="2">
        <f>H6-C6</f>
        <v/>
      </c>
      <c r="K6" s="2">
        <f>I6-D6</f>
        <v/>
      </c>
    </row>
    <row r="7">
      <c r="A7" t="inlineStr">
        <is>
          <t>2025-06</t>
        </is>
      </c>
      <c r="B7" s="2" t="n">
        <v>0</v>
      </c>
      <c r="C7" s="2" t="n">
        <v>0</v>
      </c>
      <c r="D7" s="2" t="n">
        <v>0</v>
      </c>
      <c r="E7" s="2">
        <f>B7+C7-D7</f>
        <v/>
      </c>
      <c r="F7" s="2" t="n">
        <v>0</v>
      </c>
      <c r="G7" s="2">
        <f>F7-E7</f>
        <v/>
      </c>
      <c r="H7" s="2" t="n">
        <v>8705</v>
      </c>
      <c r="I7" s="2" t="n">
        <v>14185.5</v>
      </c>
      <c r="J7" s="2">
        <f>H7-C7</f>
        <v/>
      </c>
      <c r="K7" s="2">
        <f>I7-D7</f>
        <v/>
      </c>
    </row>
    <row r="8">
      <c r="A8" t="inlineStr">
        <is>
          <t>2025-07</t>
        </is>
      </c>
      <c r="B8" s="2" t="n">
        <v>0</v>
      </c>
      <c r="C8" s="2" t="n">
        <v>0</v>
      </c>
      <c r="D8" s="2" t="n">
        <v>0</v>
      </c>
      <c r="E8" s="2">
        <f>B8+C8-D8</f>
        <v/>
      </c>
      <c r="F8" s="2" t="n">
        <v>0</v>
      </c>
      <c r="G8" s="2">
        <f>F8-E8</f>
        <v/>
      </c>
      <c r="H8" s="2" t="n">
        <v>29245.94</v>
      </c>
      <c r="I8" s="2" t="n">
        <v>23326.61</v>
      </c>
      <c r="J8" s="2">
        <f>H8-C8</f>
        <v/>
      </c>
      <c r="K8" s="2">
        <f>I8-D8</f>
        <v/>
      </c>
    </row>
    <row r="9">
      <c r="A9" t="inlineStr">
        <is>
          <t>2025-08</t>
        </is>
      </c>
      <c r="B9" s="2" t="n">
        <v>19836.26</v>
      </c>
      <c r="C9" s="2" t="n">
        <v>24595.03</v>
      </c>
      <c r="D9" s="2" t="n">
        <v>28677.15</v>
      </c>
      <c r="E9" s="2">
        <f>B9+C9-D9</f>
        <v/>
      </c>
      <c r="F9" s="2" t="n">
        <v>15754.14</v>
      </c>
      <c r="G9" s="2">
        <f>F9-E9</f>
        <v/>
      </c>
      <c r="H9" s="2" t="n">
        <v>40112.38</v>
      </c>
      <c r="I9" s="2" t="n">
        <v>9298.349999999999</v>
      </c>
      <c r="J9" s="2">
        <f>H9-C9</f>
        <v/>
      </c>
      <c r="K9" s="2">
        <f>I9-D9</f>
        <v/>
      </c>
    </row>
    <row r="10">
      <c r="A10" t="inlineStr">
        <is>
          <t>2025-09</t>
        </is>
      </c>
      <c r="B10" s="2" t="n">
        <v>15754.14</v>
      </c>
      <c r="C10" s="2" t="n">
        <v>19582.1</v>
      </c>
      <c r="D10" s="2" t="n">
        <v>23049.64</v>
      </c>
      <c r="E10" s="2">
        <f>B10+C10-D10</f>
        <v/>
      </c>
      <c r="F10" s="2" t="n">
        <v>12286.6</v>
      </c>
      <c r="G10" s="2">
        <f>F10-E10</f>
        <v/>
      </c>
      <c r="H10" s="2" t="n">
        <v>38566.18</v>
      </c>
      <c r="I10" s="2" t="n">
        <v>11688.45</v>
      </c>
      <c r="J10" s="2">
        <f>H10-C10</f>
        <v/>
      </c>
      <c r="K10" s="2">
        <f>I10-D10</f>
        <v/>
      </c>
    </row>
    <row r="11">
      <c r="A11" t="inlineStr">
        <is>
          <t>2025-10</t>
        </is>
      </c>
      <c r="B11" s="2" t="n">
        <v>12286.6</v>
      </c>
      <c r="C11" s="2" t="n">
        <v>33110.82</v>
      </c>
      <c r="D11" s="2" t="n">
        <v>28694.53</v>
      </c>
      <c r="E11" s="2">
        <f>B11+C11-D11</f>
        <v/>
      </c>
      <c r="F11" s="2" t="n">
        <v>16702.89</v>
      </c>
      <c r="G11" s="2">
        <f>F11-E11</f>
        <v/>
      </c>
      <c r="H11" s="2" t="n">
        <v>33110.82</v>
      </c>
      <c r="I11" s="2" t="n">
        <v>28694.53</v>
      </c>
      <c r="J11" s="2">
        <f>H11-C11</f>
        <v/>
      </c>
      <c r="K11" s="2">
        <f>I11-D11</f>
        <v/>
      </c>
    </row>
    <row r="12">
      <c r="A12" t="inlineStr">
        <is>
          <t>2025-11</t>
        </is>
      </c>
      <c r="B12" s="2" t="n">
        <v>0</v>
      </c>
      <c r="C12" s="2" t="n">
        <v>0</v>
      </c>
      <c r="D12" s="2" t="n">
        <v>0</v>
      </c>
      <c r="E12" s="2">
        <f>B12+C12-D12</f>
        <v/>
      </c>
      <c r="F12" s="2" t="n">
        <v>0</v>
      </c>
      <c r="G12" s="2">
        <f>F12-E12</f>
        <v/>
      </c>
      <c r="H12" s="2" t="n">
        <v>46059.53</v>
      </c>
      <c r="I12" s="2" t="n">
        <v>3156.6</v>
      </c>
      <c r="J12" s="2">
        <f>H12-C12</f>
        <v/>
      </c>
      <c r="K12" s="2">
        <f>I12-D12</f>
        <v/>
      </c>
    </row>
    <row r="13">
      <c r="A13" t="inlineStr">
        <is>
          <t>2025-12</t>
        </is>
      </c>
      <c r="B13" s="2" t="n">
        <v>0</v>
      </c>
      <c r="C13" s="2" t="n">
        <v>0</v>
      </c>
      <c r="D13" s="2" t="n">
        <v>0</v>
      </c>
      <c r="E13" s="2">
        <f>B13+C13-D13</f>
        <v/>
      </c>
      <c r="F13" s="2" t="n">
        <v>0</v>
      </c>
      <c r="G13" s="2">
        <f>F13-E13</f>
        <v/>
      </c>
      <c r="H13" s="2" t="n">
        <v>68733.48</v>
      </c>
      <c r="I13" s="2" t="n">
        <v>3096.099999999999</v>
      </c>
      <c r="J13" s="2">
        <f>H13-C13</f>
        <v/>
      </c>
      <c r="K13" s="2">
        <f>I13-D13</f>
        <v/>
      </c>
    </row>
    <row r="14">
      <c r="A14" s="1" t="inlineStr">
        <is>
          <t>TOTAL</t>
        </is>
      </c>
      <c r="B14" s="3">
        <f>SUM(B2:B13)</f>
        <v/>
      </c>
      <c r="C14" s="3">
        <f>SUM(C2:C13)</f>
        <v/>
      </c>
      <c r="D14" s="3">
        <f>SUM(D2:D13)</f>
        <v/>
      </c>
      <c r="E14" s="3">
        <f>SUM(E2:E13)</f>
        <v/>
      </c>
      <c r="F14" s="3">
        <f>SUM(F2:F13)</f>
        <v/>
      </c>
      <c r="G14" s="3">
        <f>SUM(G2:G13)</f>
        <v/>
      </c>
      <c r="H14" s="3">
        <f>SUM(H2:H13)</f>
        <v/>
      </c>
      <c r="I14" s="3">
        <f>SUM(I2:I13)</f>
        <v/>
      </c>
      <c r="J14" s="3">
        <f>SUM(J2:J13)</f>
        <v/>
      </c>
      <c r="K14" s="3">
        <f>SUM(K2:K13)</f>
        <v/>
      </c>
    </row>
    <row r="16">
      <c r="A16" s="8" t="inlineStr">
        <is>
          <t>Interpretation: Statement variance and credit/debit variances should be near zero after full reconciliation.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2026-03-31T17:10:39Z</dcterms:created>
  <dcterms:modified xmlns:dcterms="http://purl.org/dc/terms/" xmlns:xsi="http://www.w3.org/2001/XMLSchema-instance" xsi:type="dcterms:W3CDTF">2026-03-31T17:10:40Z</dcterms:modified>
</cp:coreProperties>
</file>