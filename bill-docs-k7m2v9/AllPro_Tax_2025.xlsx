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 Writeoffs" sheetId="1" state="visible" r:id="rId1"/>
    <sheet xmlns:r="http://schemas.openxmlformats.org/officeDocument/2006/relationships" name="RAW_2025" sheetId="2" state="visible" r:id="rId2"/>
    <sheet xmlns:r="http://schemas.openxmlformats.org/officeDocument/2006/relationships" name="CATEGORIZED_2025" sheetId="3" state="visible" r:id="rId3"/>
    <sheet xmlns:r="http://schemas.openxmlformats.org/officeDocument/2006/relationships" name="P&amp;L_2025" sheetId="4" state="visible" r:id="rId4"/>
    <sheet xmlns:r="http://schemas.openxmlformats.org/officeDocument/2006/relationships" name="MONTHLY_2025" sheetId="5" state="visible" r:id="rId5"/>
    <sheet xmlns:r="http://schemas.openxmlformats.org/officeDocument/2006/relationships" name="LABOR_202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yyyy-mm-dd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6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Vehicle ownership and Operation (Business only)</t>
        </is>
      </c>
      <c r="B1" s="2" t="n">
        <v>20676.13</v>
      </c>
    </row>
    <row r="2"/>
    <row r="3">
      <c r="A3" s="1" t="inlineStr">
        <is>
          <t>1099 Employees</t>
        </is>
      </c>
    </row>
    <row r="4">
      <c r="A4" t="inlineStr">
        <is>
          <t>Bryan</t>
        </is>
      </c>
      <c r="B4" s="2" t="n">
        <v>29578.02</v>
      </c>
    </row>
    <row r="5">
      <c r="A5" t="inlineStr">
        <is>
          <t>Jameson</t>
        </is>
      </c>
      <c r="B5" s="2" t="n">
        <v>0</v>
      </c>
    </row>
    <row r="6">
      <c r="A6" t="inlineStr">
        <is>
          <t>Casey</t>
        </is>
      </c>
      <c r="B6" s="2" t="n">
        <v>19616.47</v>
      </c>
    </row>
    <row r="7">
      <c r="A7" t="inlineStr">
        <is>
          <t>Tony</t>
        </is>
      </c>
      <c r="B7" s="2" t="n">
        <v>0</v>
      </c>
    </row>
    <row r="8"/>
    <row r="9">
      <c r="A9" s="1" t="inlineStr">
        <is>
          <t>Month</t>
        </is>
      </c>
      <c r="B9" s="1" t="inlineStr">
        <is>
          <t>Deposits</t>
        </is>
      </c>
      <c r="C9" s="1" t="inlineStr">
        <is>
          <t>Expenses</t>
        </is>
      </c>
      <c r="D9" s="1" t="inlineStr">
        <is>
          <t>Bill Pay</t>
        </is>
      </c>
      <c r="G9" s="1" t="inlineStr">
        <is>
          <t>Difference</t>
        </is>
      </c>
      <c r="H9" s="1" t="inlineStr">
        <is>
          <t>Car Write off</t>
        </is>
      </c>
      <c r="I9" s="1" t="inlineStr">
        <is>
          <t>Difference</t>
        </is>
      </c>
      <c r="J9" s="1" t="inlineStr">
        <is>
          <t>1099</t>
        </is>
      </c>
      <c r="K9" s="1" t="inlineStr">
        <is>
          <t>Total Loss</t>
        </is>
      </c>
    </row>
    <row r="10">
      <c r="A10" t="inlineStr">
        <is>
          <t>January</t>
        </is>
      </c>
      <c r="B10" s="2" t="n">
        <v>7113.78</v>
      </c>
      <c r="C10" s="2" t="n">
        <v>11377.59</v>
      </c>
      <c r="D10" s="2" t="n">
        <v>8590</v>
      </c>
    </row>
    <row r="11">
      <c r="A11" t="inlineStr">
        <is>
          <t>February</t>
        </is>
      </c>
      <c r="B11" s="2" t="n">
        <v>0</v>
      </c>
      <c r="C11" s="2" t="n">
        <v>25311.08</v>
      </c>
      <c r="D11" s="2" t="n">
        <v>7205.5</v>
      </c>
    </row>
    <row r="12">
      <c r="A12" t="inlineStr">
        <is>
          <t>March</t>
        </is>
      </c>
      <c r="B12" s="2" t="n">
        <v>3575</v>
      </c>
      <c r="C12" s="2" t="n">
        <v>22238.06</v>
      </c>
      <c r="D12" s="2" t="n">
        <v>4008</v>
      </c>
    </row>
    <row r="13">
      <c r="A13" t="inlineStr">
        <is>
          <t>April</t>
        </is>
      </c>
      <c r="B13" s="2" t="n">
        <v>15160</v>
      </c>
      <c r="C13" s="2" t="n">
        <v>19902.05</v>
      </c>
      <c r="D13" s="2" t="n">
        <v>5128.23</v>
      </c>
    </row>
    <row r="14">
      <c r="A14" t="inlineStr">
        <is>
          <t>May</t>
        </is>
      </c>
      <c r="B14" s="2" t="n">
        <v>99479.82000000001</v>
      </c>
      <c r="C14" s="2" t="n">
        <v>7739.21</v>
      </c>
      <c r="D14" s="2" t="n">
        <v>2350</v>
      </c>
    </row>
    <row r="15">
      <c r="A15" t="inlineStr">
        <is>
          <t>June</t>
        </is>
      </c>
      <c r="B15" s="2" t="n">
        <v>8705</v>
      </c>
      <c r="C15" s="2" t="n">
        <v>9820.15</v>
      </c>
      <c r="D15" s="2" t="n">
        <v>2155.35</v>
      </c>
    </row>
    <row r="16">
      <c r="A16" t="inlineStr">
        <is>
          <t>July</t>
        </is>
      </c>
      <c r="B16" s="2" t="n">
        <v>29245.94</v>
      </c>
      <c r="C16" s="2" t="n">
        <v>13960.55</v>
      </c>
      <c r="D16" s="2" t="n">
        <v>6482.06</v>
      </c>
    </row>
    <row r="17">
      <c r="A17" t="inlineStr">
        <is>
          <t>August</t>
        </is>
      </c>
      <c r="B17" s="2" t="n">
        <v>40112.38</v>
      </c>
      <c r="C17" s="2" t="n">
        <v>5191.33</v>
      </c>
      <c r="D17" s="2" t="n">
        <v>2658.02</v>
      </c>
    </row>
    <row r="18">
      <c r="A18" t="inlineStr">
        <is>
          <t>September</t>
        </is>
      </c>
      <c r="B18" s="2" t="n">
        <v>38566.18</v>
      </c>
      <c r="C18" s="2" t="n">
        <v>5088.45</v>
      </c>
      <c r="D18" s="2" t="n">
        <v>1400</v>
      </c>
    </row>
    <row r="19">
      <c r="A19" t="inlineStr">
        <is>
          <t>October</t>
        </is>
      </c>
      <c r="B19" s="2" t="n">
        <v>33110.82</v>
      </c>
      <c r="C19" s="2" t="n">
        <v>16792.53</v>
      </c>
      <c r="D19" s="2" t="n">
        <v>7614</v>
      </c>
    </row>
    <row r="20">
      <c r="A20" t="inlineStr">
        <is>
          <t>November</t>
        </is>
      </c>
      <c r="B20" s="2" t="n">
        <v>46059.53</v>
      </c>
      <c r="C20" s="2" t="n">
        <v>2446.6</v>
      </c>
      <c r="D20" s="2" t="n">
        <v>210</v>
      </c>
    </row>
    <row r="21">
      <c r="A21" t="inlineStr">
        <is>
          <t>December</t>
        </is>
      </c>
      <c r="B21" s="2" t="n">
        <v>68733.48</v>
      </c>
      <c r="C21" s="2" t="n">
        <v>1477.77</v>
      </c>
      <c r="D21" s="2" t="n">
        <v>1393.33</v>
      </c>
    </row>
    <row r="22">
      <c r="A22" s="1" t="inlineStr">
        <is>
          <t>Total</t>
        </is>
      </c>
      <c r="B22" s="3">
        <f>SUM(B10:B21)</f>
        <v/>
      </c>
      <c r="C22" s="3">
        <f>SUM(C10:C21)</f>
        <v/>
      </c>
      <c r="D22" s="3">
        <f>SUM(D10:D21)</f>
        <v/>
      </c>
      <c r="G22" s="3">
        <f>B22-C22-D22</f>
        <v/>
      </c>
      <c r="H22" s="3" t="n">
        <v>20676.13</v>
      </c>
      <c r="I22" s="3">
        <f>G22-H22</f>
        <v/>
      </c>
      <c r="J22" s="3">
        <f>SUM(B4:B7)</f>
        <v/>
      </c>
      <c r="K22" s="3">
        <f>I22-J22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</row>
    <row r="2">
      <c r="A2" s="5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</row>
    <row r="3">
      <c r="A3" s="5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</row>
    <row r="4">
      <c r="A4" s="5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</row>
    <row r="5">
      <c r="A5" s="5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</row>
    <row r="6">
      <c r="A6" s="5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</row>
    <row r="7">
      <c r="A7" s="5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</row>
    <row r="8">
      <c r="A8" s="5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</row>
    <row r="9">
      <c r="A9" s="5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</row>
    <row r="10">
      <c r="A10" s="5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</row>
    <row r="11">
      <c r="A11" s="5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</row>
    <row r="12">
      <c r="A12" s="5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</row>
    <row r="13">
      <c r="A13" s="5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</row>
    <row r="14">
      <c r="A14" s="5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</row>
    <row r="15">
      <c r="A15" s="5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</row>
    <row r="16">
      <c r="A16" s="5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</row>
    <row r="17">
      <c r="A17" s="5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</row>
    <row r="18">
      <c r="A18" s="5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</row>
    <row r="19">
      <c r="A19" s="5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</row>
    <row r="20">
      <c r="A20" s="5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</row>
    <row r="21">
      <c r="A21" s="5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</row>
    <row r="22">
      <c r="A22" s="5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</row>
    <row r="23">
      <c r="A23" s="5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</row>
    <row r="24">
      <c r="A24" s="5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</row>
    <row r="25">
      <c r="A25" s="5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</row>
    <row r="26">
      <c r="A26" s="5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</row>
    <row r="27">
      <c r="A27" s="5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</row>
    <row r="28">
      <c r="A28" s="5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</row>
    <row r="29">
      <c r="A29" s="5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</row>
    <row r="30">
      <c r="A30" s="5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</row>
    <row r="31">
      <c r="A31" s="5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</row>
    <row r="32">
      <c r="A32" s="5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</row>
    <row r="33">
      <c r="A33" s="5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</row>
    <row r="34">
      <c r="A34" s="5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</row>
    <row r="35">
      <c r="A35" s="5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</row>
    <row r="36">
      <c r="A36" s="5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</row>
    <row r="37">
      <c r="A37" s="5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</row>
    <row r="38">
      <c r="A38" s="5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</row>
    <row r="39">
      <c r="A39" s="5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</row>
    <row r="40">
      <c r="A40" s="5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</row>
    <row r="41">
      <c r="A41" s="5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</row>
    <row r="42">
      <c r="A42" s="5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</row>
    <row r="43">
      <c r="A43" s="5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</row>
    <row r="44">
      <c r="A44" s="5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</row>
    <row r="45">
      <c r="A45" s="5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</row>
    <row r="46">
      <c r="A46" s="5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</row>
    <row r="47">
      <c r="A47" s="5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</row>
    <row r="48">
      <c r="A48" s="5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</row>
    <row r="49">
      <c r="A49" s="5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</row>
    <row r="50">
      <c r="A50" s="5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</row>
    <row r="51">
      <c r="A51" s="5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</row>
    <row r="52">
      <c r="A52" s="5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</row>
    <row r="53">
      <c r="A53" s="5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</row>
    <row r="54">
      <c r="A54" s="5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</row>
    <row r="55">
      <c r="A55" s="5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</row>
    <row r="56">
      <c r="A56" s="5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</row>
    <row r="57">
      <c r="A57" s="5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</row>
    <row r="58">
      <c r="A58" s="5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</row>
    <row r="59">
      <c r="A59" s="5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</row>
    <row r="60">
      <c r="A60" s="5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</row>
    <row r="61">
      <c r="A61" s="5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</row>
    <row r="62">
      <c r="A62" s="5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</row>
    <row r="63">
      <c r="A63" s="5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</row>
    <row r="64">
      <c r="A64" s="5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</row>
    <row r="65">
      <c r="A65" s="5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</row>
    <row r="66">
      <c r="A66" s="5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</row>
    <row r="67">
      <c r="A67" s="5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</row>
    <row r="68">
      <c r="A68" s="5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</row>
    <row r="69">
      <c r="A69" s="5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</row>
    <row r="70">
      <c r="A70" s="5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</row>
    <row r="71">
      <c r="A71" s="5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</row>
    <row r="72">
      <c r="A72" s="5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</row>
    <row r="73">
      <c r="A73" s="5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</row>
    <row r="74">
      <c r="A74" s="5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</row>
    <row r="75">
      <c r="A75" s="5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</row>
    <row r="76">
      <c r="A76" s="5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</row>
    <row r="77">
      <c r="A77" s="5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</row>
    <row r="78">
      <c r="A78" s="5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</row>
    <row r="79">
      <c r="A79" s="5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</row>
    <row r="80">
      <c r="A80" s="5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</row>
    <row r="81">
      <c r="A81" s="5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</row>
    <row r="82">
      <c r="A82" s="5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</row>
    <row r="83">
      <c r="A83" s="5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</row>
    <row r="84">
      <c r="A84" s="5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</row>
    <row r="85">
      <c r="A85" s="5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</row>
    <row r="86">
      <c r="A86" s="5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</row>
    <row r="87">
      <c r="A87" s="5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</row>
    <row r="88">
      <c r="A88" s="5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</row>
    <row r="89">
      <c r="A89" s="5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</row>
    <row r="90">
      <c r="A90" s="5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</row>
    <row r="91">
      <c r="A91" s="5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</row>
    <row r="92">
      <c r="A92" s="5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</row>
    <row r="93">
      <c r="A93" s="5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</row>
    <row r="94">
      <c r="A94" s="5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</row>
    <row r="95">
      <c r="A95" s="5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</row>
    <row r="96">
      <c r="A96" s="5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</row>
    <row r="97">
      <c r="A97" s="5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</row>
    <row r="98">
      <c r="A98" s="5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</row>
    <row r="99">
      <c r="A99" s="5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</row>
    <row r="100">
      <c r="A100" s="5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</row>
    <row r="101">
      <c r="A101" s="5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</row>
    <row r="102">
      <c r="A102" s="5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</row>
    <row r="103">
      <c r="A103" s="5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</row>
    <row r="104">
      <c r="A104" s="5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</row>
    <row r="105">
      <c r="A105" s="5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</row>
    <row r="106">
      <c r="A106" s="5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</row>
    <row r="107">
      <c r="A107" s="5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</row>
    <row r="108">
      <c r="A108" s="5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</row>
    <row r="109">
      <c r="A109" s="5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</row>
    <row r="110">
      <c r="A110" s="5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</row>
    <row r="111">
      <c r="A111" s="5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</row>
    <row r="112">
      <c r="A112" s="5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</row>
    <row r="113">
      <c r="A113" s="5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</row>
    <row r="114">
      <c r="A114" s="5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</row>
    <row r="115">
      <c r="A115" s="5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</row>
    <row r="116">
      <c r="A116" s="5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</row>
    <row r="117">
      <c r="A117" s="5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</row>
    <row r="118">
      <c r="A118" s="5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</row>
    <row r="119">
      <c r="A119" s="5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</row>
    <row r="120">
      <c r="A120" s="5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</row>
    <row r="121">
      <c r="A121" s="5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</row>
    <row r="122">
      <c r="A122" s="5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</row>
    <row r="123">
      <c r="A123" s="5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</row>
    <row r="124">
      <c r="A124" s="5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</row>
    <row r="125">
      <c r="A125" s="5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</row>
    <row r="126">
      <c r="A126" s="5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</row>
    <row r="127">
      <c r="A127" s="5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</row>
    <row r="128">
      <c r="A128" s="5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</row>
    <row r="129">
      <c r="A129" s="5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</row>
    <row r="130">
      <c r="A130" s="5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</row>
    <row r="131">
      <c r="A131" s="5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</row>
    <row r="132">
      <c r="A132" s="5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</row>
    <row r="133">
      <c r="A133" s="5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</row>
    <row r="134">
      <c r="A134" s="5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</row>
    <row r="135">
      <c r="A135" s="5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</row>
    <row r="136">
      <c r="A136" s="5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</row>
    <row r="137">
      <c r="A137" s="5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</row>
    <row r="138">
      <c r="A138" s="5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</row>
    <row r="139">
      <c r="A139" s="5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</row>
    <row r="140">
      <c r="A140" s="5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</row>
    <row r="141">
      <c r="A141" s="5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</row>
    <row r="142">
      <c r="A142" s="5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</row>
    <row r="143">
      <c r="A143" s="5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</row>
    <row r="144">
      <c r="A144" s="5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</row>
    <row r="145">
      <c r="A145" s="5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</row>
    <row r="146">
      <c r="A146" s="5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</row>
    <row r="147">
      <c r="A147" s="5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</row>
    <row r="148">
      <c r="A148" s="5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</row>
    <row r="149">
      <c r="A149" s="5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</row>
    <row r="150">
      <c r="A150" s="5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</row>
    <row r="151">
      <c r="A151" s="5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</row>
    <row r="152">
      <c r="A152" s="5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</row>
    <row r="153">
      <c r="A153" s="5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</row>
    <row r="154">
      <c r="A154" s="5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</row>
    <row r="155">
      <c r="A155" s="5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</row>
    <row r="156">
      <c r="A156" s="5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</row>
    <row r="157">
      <c r="A157" s="5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</row>
    <row r="158">
      <c r="A158" s="5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</row>
    <row r="159">
      <c r="A159" s="5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</row>
    <row r="160">
      <c r="A160" s="5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</row>
    <row r="161">
      <c r="A161" s="5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</row>
    <row r="162">
      <c r="A162" s="5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</row>
    <row r="163">
      <c r="A163" s="5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</row>
    <row r="164">
      <c r="A164" s="5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</row>
    <row r="165">
      <c r="A165" s="5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</row>
    <row r="166">
      <c r="A166" s="5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</row>
    <row r="167">
      <c r="A167" s="5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</row>
    <row r="168">
      <c r="A168" s="5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</row>
    <row r="169">
      <c r="A169" s="5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</row>
    <row r="170">
      <c r="A170" s="5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</row>
    <row r="171">
      <c r="A171" s="5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</row>
    <row r="172">
      <c r="A172" s="5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</row>
    <row r="173">
      <c r="A173" s="5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</row>
    <row r="174">
      <c r="A174" s="5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</row>
    <row r="175">
      <c r="A175" s="5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</row>
    <row r="176">
      <c r="A176" s="5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</row>
    <row r="177">
      <c r="A177" s="5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</row>
    <row r="178">
      <c r="A178" s="5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</row>
    <row r="179">
      <c r="A179" s="5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</row>
    <row r="180">
      <c r="A180" s="5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</row>
    <row r="181">
      <c r="A181" s="5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</row>
    <row r="182">
      <c r="A182" s="5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</row>
    <row r="183">
      <c r="A183" s="5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</row>
    <row r="184">
      <c r="A184" s="5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</row>
    <row r="185">
      <c r="A185" s="5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</row>
    <row r="186">
      <c r="A186" s="5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</row>
    <row r="187">
      <c r="A187" s="5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</row>
    <row r="188">
      <c r="A188" s="5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</row>
    <row r="189">
      <c r="A189" s="5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</row>
    <row r="190">
      <c r="A190" s="5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</row>
    <row r="191">
      <c r="A191" s="5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</row>
    <row r="192">
      <c r="A192" s="5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</row>
    <row r="193">
      <c r="A193" s="5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</row>
    <row r="194">
      <c r="A194" s="5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</row>
    <row r="195">
      <c r="A195" s="5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</row>
    <row r="196">
      <c r="A196" s="5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</row>
    <row r="197">
      <c r="A197" s="5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</row>
    <row r="198">
      <c r="A198" s="5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</row>
    <row r="199">
      <c r="A199" s="5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</row>
    <row r="200">
      <c r="A200" s="5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</row>
    <row r="201">
      <c r="A201" s="5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</row>
    <row r="202">
      <c r="A202" s="5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</row>
    <row r="203">
      <c r="A203" s="5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</row>
    <row r="204">
      <c r="A204" s="5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</row>
    <row r="205">
      <c r="A205" s="5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</row>
    <row r="206">
      <c r="A206" s="5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</row>
    <row r="207">
      <c r="A207" s="5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</row>
    <row r="208">
      <c r="A208" s="5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</row>
    <row r="209">
      <c r="A209" s="5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</row>
    <row r="210">
      <c r="A210" s="5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</row>
    <row r="211">
      <c r="A211" s="5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</row>
    <row r="212">
      <c r="A212" s="5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</row>
    <row r="213">
      <c r="A213" s="5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</row>
    <row r="214">
      <c r="A214" s="5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</row>
    <row r="215">
      <c r="A215" s="5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</row>
    <row r="216">
      <c r="A216" s="5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</row>
    <row r="217">
      <c r="A217" s="5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</row>
    <row r="218">
      <c r="A218" s="5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</row>
    <row r="219">
      <c r="A219" s="5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</row>
    <row r="220">
      <c r="A220" s="5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</row>
    <row r="221">
      <c r="A221" s="5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</row>
    <row r="222">
      <c r="A222" s="5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</row>
    <row r="223">
      <c r="A223" s="5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</row>
    <row r="224">
      <c r="A224" s="5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</row>
    <row r="225">
      <c r="A225" s="5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</row>
    <row r="226">
      <c r="A226" s="5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</row>
    <row r="227">
      <c r="A227" s="5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</row>
    <row r="228">
      <c r="A228" s="5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</row>
    <row r="229">
      <c r="A229" s="5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</row>
    <row r="230">
      <c r="A230" s="5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</row>
    <row r="231">
      <c r="A231" s="5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</row>
    <row r="232">
      <c r="A232" s="5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</row>
    <row r="233">
      <c r="A233" s="5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</row>
    <row r="234">
      <c r="A234" s="5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</row>
    <row r="235">
      <c r="A235" s="5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</row>
    <row r="236">
      <c r="A236" s="5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</row>
    <row r="237">
      <c r="A237" s="5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</row>
    <row r="238">
      <c r="A238" s="5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</row>
    <row r="239">
      <c r="A239" s="5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</row>
    <row r="240">
      <c r="A240" s="5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</row>
    <row r="241">
      <c r="A241" s="5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</row>
    <row r="242">
      <c r="A242" s="5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</row>
    <row r="243">
      <c r="A243" s="5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</row>
    <row r="244">
      <c r="A244" s="5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</row>
    <row r="245">
      <c r="A245" s="5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</row>
    <row r="246">
      <c r="A246" s="5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</row>
    <row r="247">
      <c r="A247" s="5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</row>
    <row r="248">
      <c r="A248" s="5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</row>
    <row r="249">
      <c r="A249" s="5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</row>
    <row r="250">
      <c r="A250" s="5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</row>
    <row r="251">
      <c r="A251" s="5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</row>
    <row r="252">
      <c r="A252" s="5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</row>
    <row r="253">
      <c r="A253" s="5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</row>
    <row r="254">
      <c r="A254" s="5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</row>
    <row r="255">
      <c r="A255" s="5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</row>
    <row r="256">
      <c r="A256" s="5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</row>
    <row r="257">
      <c r="A257" s="5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</row>
    <row r="258">
      <c r="A258" s="5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</row>
    <row r="259">
      <c r="A259" s="5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</row>
    <row r="260">
      <c r="A260" s="5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</row>
    <row r="261">
      <c r="A261" s="5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</row>
    <row r="262">
      <c r="A262" s="5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</row>
    <row r="263">
      <c r="A263" s="5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</row>
    <row r="264">
      <c r="A264" s="5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</row>
    <row r="265">
      <c r="A265" s="5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</row>
    <row r="266">
      <c r="A266" s="5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</row>
    <row r="267">
      <c r="A267" s="5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</row>
    <row r="268">
      <c r="A268" s="5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</row>
    <row r="269">
      <c r="A269" s="5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</row>
    <row r="270">
      <c r="A270" s="5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</row>
    <row r="271">
      <c r="A271" s="5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</row>
    <row r="272">
      <c r="A272" s="5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</row>
    <row r="273">
      <c r="A273" s="5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</row>
    <row r="274">
      <c r="A274" s="5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</row>
    <row r="275">
      <c r="A275" s="5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</row>
    <row r="276">
      <c r="A276" s="5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</row>
    <row r="277">
      <c r="A277" s="5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</row>
    <row r="278">
      <c r="A278" s="5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</row>
    <row r="279">
      <c r="A279" s="5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</row>
    <row r="280">
      <c r="A280" s="5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</row>
    <row r="281">
      <c r="A281" s="5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</row>
    <row r="282">
      <c r="A282" s="5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</row>
    <row r="283">
      <c r="A283" s="5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</row>
    <row r="284">
      <c r="A284" s="5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</row>
    <row r="285">
      <c r="A285" s="5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</row>
    <row r="286">
      <c r="A286" s="5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</row>
    <row r="287">
      <c r="A287" s="5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</row>
    <row r="288">
      <c r="A288" s="5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</row>
    <row r="289">
      <c r="A289" s="5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</row>
    <row r="290">
      <c r="A290" s="5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</row>
    <row r="291">
      <c r="A291" s="5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</row>
    <row r="292">
      <c r="A292" s="5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</row>
    <row r="293">
      <c r="A293" s="5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</row>
    <row r="294">
      <c r="A294" s="5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</row>
    <row r="295">
      <c r="A295" s="5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</row>
    <row r="296">
      <c r="A296" s="5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</row>
    <row r="297">
      <c r="A297" s="5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</row>
    <row r="298">
      <c r="A298" s="5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</row>
    <row r="299">
      <c r="A299" s="5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</row>
    <row r="300">
      <c r="A300" s="5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</row>
    <row r="301">
      <c r="A301" s="5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</row>
    <row r="302">
      <c r="A302" s="5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</row>
    <row r="303">
      <c r="A303" s="5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</row>
    <row r="304">
      <c r="A304" s="5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</row>
    <row r="305">
      <c r="A305" s="5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</row>
    <row r="306">
      <c r="A306" s="5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</row>
    <row r="307">
      <c r="A307" s="5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</row>
    <row r="308">
      <c r="A308" s="5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</row>
    <row r="309">
      <c r="A309" s="5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</row>
    <row r="310">
      <c r="A310" s="5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</row>
    <row r="311">
      <c r="A311" s="5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</row>
    <row r="312">
      <c r="A312" s="5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</row>
    <row r="313">
      <c r="A313" s="5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</row>
    <row r="314">
      <c r="A314" s="5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</row>
    <row r="315">
      <c r="A315" s="5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</row>
    <row r="316">
      <c r="A316" s="5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</row>
    <row r="317">
      <c r="A317" s="5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</row>
    <row r="318">
      <c r="A318" s="5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</row>
    <row r="319">
      <c r="A319" s="5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</row>
    <row r="320">
      <c r="A320" s="5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</row>
    <row r="321">
      <c r="A321" s="5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</row>
    <row r="322">
      <c r="A322" s="5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</row>
    <row r="323">
      <c r="A323" s="5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</row>
    <row r="324">
      <c r="A324" s="5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</row>
    <row r="325">
      <c r="A325" s="5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</row>
    <row r="326">
      <c r="A326" s="5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</row>
    <row r="327">
      <c r="A327" s="5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</row>
    <row r="328">
      <c r="A328" s="5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</row>
    <row r="329">
      <c r="A329" s="5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</row>
    <row r="330">
      <c r="A330" s="5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</row>
    <row r="331">
      <c r="A331" s="5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</row>
    <row r="332">
      <c r="A332" s="5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</row>
    <row r="333">
      <c r="A333" s="5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</row>
    <row r="334">
      <c r="A334" s="5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</row>
    <row r="335">
      <c r="A335" s="5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</row>
    <row r="336">
      <c r="A336" s="5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</row>
    <row r="337">
      <c r="A337" s="5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</row>
    <row r="338">
      <c r="A338" s="5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</row>
    <row r="339">
      <c r="A339" s="5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</row>
    <row r="340">
      <c r="A340" s="5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</row>
    <row r="341">
      <c r="A341" s="5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</row>
    <row r="342">
      <c r="A342" s="5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</row>
    <row r="343">
      <c r="A343" s="5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</row>
    <row r="344">
      <c r="A344" s="5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</row>
    <row r="345">
      <c r="A345" s="5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</row>
    <row r="346">
      <c r="A346" s="5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</row>
    <row r="347">
      <c r="A347" s="5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</row>
    <row r="348">
      <c r="A348" s="5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</row>
    <row r="349">
      <c r="A349" s="5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</row>
    <row r="350">
      <c r="A350" s="5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</row>
    <row r="351">
      <c r="A351" s="5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</row>
    <row r="352">
      <c r="A352" s="5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</row>
    <row r="353">
      <c r="A353" s="5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</row>
    <row r="354">
      <c r="A354" s="5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</row>
    <row r="355">
      <c r="A355" s="5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</row>
    <row r="356">
      <c r="A356" s="5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</row>
    <row r="357">
      <c r="A357" s="5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</row>
    <row r="358">
      <c r="A358" s="5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</row>
    <row r="359">
      <c r="A359" s="5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</row>
    <row r="360">
      <c r="A360" s="5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</row>
    <row r="361">
      <c r="A361" s="5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</row>
    <row r="362">
      <c r="A362" s="5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</row>
    <row r="363">
      <c r="A363" s="5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</row>
    <row r="364">
      <c r="A364" s="5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</row>
    <row r="365">
      <c r="A365" s="5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</row>
    <row r="366">
      <c r="A366" s="5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</row>
    <row r="367">
      <c r="A367" s="5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</row>
    <row r="368">
      <c r="A368" s="5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</row>
    <row r="369">
      <c r="A369" s="5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</row>
    <row r="370">
      <c r="A370" s="5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</row>
    <row r="371">
      <c r="A371" s="5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</row>
    <row r="372">
      <c r="A372" s="5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</row>
    <row r="373">
      <c r="A373" s="5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</row>
    <row r="374">
      <c r="A374" s="5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</row>
    <row r="375">
      <c r="A375" s="5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</row>
    <row r="376">
      <c r="A376" s="5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</row>
    <row r="377">
      <c r="A377" s="5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</row>
    <row r="378">
      <c r="A378" s="5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</row>
    <row r="379">
      <c r="A379" s="5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</row>
    <row r="380">
      <c r="A380" s="5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</row>
    <row r="381">
      <c r="A381" s="5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</row>
    <row r="382">
      <c r="A382" s="5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</row>
    <row r="383">
      <c r="A383" s="5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</row>
    <row r="384">
      <c r="A384" s="5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</row>
    <row r="385">
      <c r="A385" s="5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</row>
    <row r="386">
      <c r="A386" s="5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</row>
    <row r="387">
      <c r="A387" s="5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</row>
    <row r="388">
      <c r="A388" s="5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</row>
    <row r="389">
      <c r="A389" s="5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</row>
    <row r="390">
      <c r="A390" s="5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</row>
    <row r="391">
      <c r="A391" s="5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</row>
    <row r="392">
      <c r="A392" s="5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</row>
    <row r="393">
      <c r="A393" s="5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</row>
    <row r="394">
      <c r="A394" s="5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</row>
    <row r="395">
      <c r="A395" s="5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</row>
    <row r="396">
      <c r="A396" s="5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</row>
    <row r="397">
      <c r="A397" s="5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</row>
    <row r="398">
      <c r="A398" s="5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</row>
    <row r="399">
      <c r="A399" s="5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</row>
    <row r="400">
      <c r="A400" s="5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</row>
    <row r="401">
      <c r="A401" s="5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</row>
    <row r="402">
      <c r="A402" s="5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</row>
    <row r="403">
      <c r="A403" s="5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</row>
    <row r="404">
      <c r="A404" s="5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</row>
    <row r="405">
      <c r="A405" s="5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</row>
    <row r="406">
      <c r="A406" s="5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</row>
    <row r="407">
      <c r="A407" s="5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</row>
    <row r="408">
      <c r="A408" s="5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</row>
    <row r="409">
      <c r="A409" s="5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</row>
    <row r="410">
      <c r="A410" s="5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</row>
    <row r="411">
      <c r="A411" s="5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</row>
    <row r="412">
      <c r="A412" s="5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</row>
    <row r="413">
      <c r="A413" s="5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</row>
    <row r="414">
      <c r="A414" s="5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</row>
    <row r="415">
      <c r="A415" s="5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</row>
    <row r="416">
      <c r="A416" s="5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</row>
    <row r="417">
      <c r="A417" s="5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</row>
    <row r="418">
      <c r="A418" s="5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</row>
    <row r="419">
      <c r="A419" s="5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</row>
    <row r="420">
      <c r="A420" s="5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</row>
    <row r="421">
      <c r="A421" s="5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</row>
    <row r="422">
      <c r="A422" s="5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</row>
    <row r="423">
      <c r="A423" s="5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</row>
    <row r="424">
      <c r="A424" s="5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</row>
    <row r="425">
      <c r="A425" s="5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</row>
    <row r="426">
      <c r="A426" s="5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</row>
    <row r="427">
      <c r="A427" s="5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</row>
    <row r="428">
      <c r="A428" s="5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</row>
    <row r="429">
      <c r="A429" s="5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</row>
    <row r="430">
      <c r="A430" s="5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</row>
    <row r="431">
      <c r="A431" s="5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</row>
    <row r="432">
      <c r="A432" s="5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</row>
    <row r="433">
      <c r="A433" s="5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</row>
    <row r="434">
      <c r="A434" s="5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</row>
    <row r="435">
      <c r="A435" s="5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</row>
    <row r="436">
      <c r="A436" s="5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</row>
    <row r="437">
      <c r="A437" s="5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</row>
    <row r="438">
      <c r="A438" s="5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</row>
    <row r="439">
      <c r="A439" s="5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</row>
    <row r="440">
      <c r="A440" s="5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</row>
    <row r="441">
      <c r="A441" s="5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</row>
    <row r="442">
      <c r="A442" s="5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</row>
    <row r="443">
      <c r="A443" s="5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</row>
    <row r="444">
      <c r="A444" s="5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</row>
    <row r="445">
      <c r="A445" s="5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</row>
    <row r="446">
      <c r="A446" s="5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</row>
    <row r="447">
      <c r="A447" s="5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</row>
    <row r="448">
      <c r="A448" s="5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</row>
    <row r="449">
      <c r="A449" s="5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</row>
    <row r="450">
      <c r="A450" s="5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</row>
    <row r="451">
      <c r="A451" s="5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</row>
    <row r="452">
      <c r="A452" s="5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</row>
    <row r="453">
      <c r="A453" s="5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</row>
    <row r="454">
      <c r="A454" s="5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</row>
    <row r="455">
      <c r="A455" s="5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</row>
    <row r="456">
      <c r="A456" s="5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</row>
    <row r="457">
      <c r="A457" s="5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</row>
    <row r="458">
      <c r="A458" s="5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</row>
    <row r="459">
      <c r="A459" s="5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</row>
    <row r="460">
      <c r="A460" s="5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</row>
    <row r="461">
      <c r="A461" s="5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</row>
    <row r="462">
      <c r="A462" s="5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</row>
    <row r="463">
      <c r="A463" s="5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</row>
    <row r="464">
      <c r="A464" s="5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</row>
    <row r="465">
      <c r="A465" s="5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</row>
    <row r="466">
      <c r="A466" s="5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</row>
    <row r="467">
      <c r="A467" s="5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</row>
    <row r="468">
      <c r="A468" s="5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</row>
    <row r="469">
      <c r="A469" s="5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</row>
    <row r="470">
      <c r="A470" s="5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</row>
    <row r="471">
      <c r="A471" s="5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</row>
    <row r="472">
      <c r="A472" s="5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</row>
    <row r="473">
      <c r="A473" s="5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</row>
    <row r="474">
      <c r="A474" s="5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</row>
    <row r="475">
      <c r="A475" s="5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</row>
    <row r="476">
      <c r="A476" s="5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</row>
    <row r="477">
      <c r="A477" s="5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</row>
    <row r="478">
      <c r="A478" s="5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</row>
    <row r="479">
      <c r="A479" s="5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</row>
    <row r="480">
      <c r="A480" s="5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</row>
    <row r="481">
      <c r="A481" s="5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</row>
    <row r="482">
      <c r="A482" s="5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</row>
    <row r="483">
      <c r="A483" s="5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</row>
    <row r="484">
      <c r="A484" s="5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</row>
    <row r="485">
      <c r="A485" s="5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</row>
    <row r="486">
      <c r="A486" s="5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</row>
    <row r="487">
      <c r="A487" s="5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</row>
    <row r="488">
      <c r="A488" s="5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</row>
    <row r="489">
      <c r="A489" s="5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</row>
    <row r="490">
      <c r="A490" s="5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</row>
    <row r="491">
      <c r="A491" s="5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</row>
    <row r="492">
      <c r="A492" s="5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</row>
    <row r="493">
      <c r="A493" s="5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</row>
    <row r="494">
      <c r="A494" s="5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</row>
    <row r="495">
      <c r="A495" s="5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</row>
    <row r="496">
      <c r="A496" s="5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</row>
    <row r="497">
      <c r="A497" s="5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</row>
    <row r="498">
      <c r="A498" s="5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</row>
    <row r="499">
      <c r="A499" s="5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</row>
    <row r="500">
      <c r="A500" s="5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</row>
    <row r="501">
      <c r="A501" s="5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</row>
    <row r="502">
      <c r="A502" s="5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</row>
    <row r="503">
      <c r="A503" s="5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</row>
    <row r="504">
      <c r="A504" s="5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</row>
    <row r="505">
      <c r="A505" s="5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</row>
    <row r="506">
      <c r="A506" s="5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</row>
    <row r="507">
      <c r="A507" s="5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</row>
    <row r="508">
      <c r="A508" s="5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</row>
    <row r="509">
      <c r="A509" s="5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</row>
    <row r="510">
      <c r="A510" s="5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</row>
    <row r="511">
      <c r="A511" s="5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</row>
    <row r="512">
      <c r="A512" s="5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</row>
    <row r="513">
      <c r="A513" s="5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</row>
    <row r="514">
      <c r="A514" s="5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</row>
    <row r="515">
      <c r="A515" s="5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</row>
    <row r="516">
      <c r="A516" s="5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</row>
    <row r="517">
      <c r="A517" s="5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</row>
    <row r="518">
      <c r="A518" s="5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</row>
    <row r="519">
      <c r="A519" s="5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</row>
    <row r="520">
      <c r="A520" s="5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</row>
    <row r="521">
      <c r="A521" s="5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</row>
    <row r="522">
      <c r="A522" s="5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</row>
    <row r="523">
      <c r="A523" s="5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</row>
    <row r="524">
      <c r="A524" s="5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</row>
    <row r="525">
      <c r="A525" s="5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</row>
    <row r="526">
      <c r="A526" s="5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</row>
    <row r="527">
      <c r="A527" s="5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</row>
    <row r="528">
      <c r="A528" s="5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</row>
    <row r="529">
      <c r="A529" s="5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</row>
    <row r="530">
      <c r="A530" s="5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</row>
    <row r="531">
      <c r="A531" s="5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</row>
    <row r="532">
      <c r="A532" s="5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</row>
    <row r="533">
      <c r="A533" s="5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</row>
    <row r="534">
      <c r="A534" s="5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</row>
    <row r="535">
      <c r="A535" s="5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</row>
    <row r="536">
      <c r="A536" s="5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</row>
    <row r="537">
      <c r="A537" s="5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</row>
    <row r="538">
      <c r="A538" s="5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</row>
    <row r="539">
      <c r="A539" s="5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</row>
    <row r="540">
      <c r="A540" s="5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</row>
    <row r="541">
      <c r="A541" s="5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</row>
    <row r="542">
      <c r="A542" s="5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</row>
    <row r="543">
      <c r="A543" s="5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</row>
    <row r="544">
      <c r="A544" s="5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</row>
    <row r="545">
      <c r="A545" s="5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</row>
    <row r="546">
      <c r="A546" s="5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</row>
    <row r="547">
      <c r="A547" s="5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</row>
    <row r="548">
      <c r="A548" s="5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</row>
    <row r="549">
      <c r="A549" s="5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</row>
    <row r="550">
      <c r="A550" s="5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</row>
    <row r="551">
      <c r="A551" s="5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</row>
    <row r="552">
      <c r="A552" s="5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</row>
    <row r="553">
      <c r="A553" s="5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</row>
    <row r="554">
      <c r="A554" s="5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</row>
    <row r="555">
      <c r="A555" s="5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</row>
    <row r="556">
      <c r="A556" s="5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</row>
    <row r="557">
      <c r="A557" s="5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</row>
    <row r="558">
      <c r="A558" s="5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</row>
    <row r="559">
      <c r="A559" s="5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</row>
    <row r="560">
      <c r="A560" s="5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</row>
    <row r="561">
      <c r="A561" s="5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</row>
    <row r="562">
      <c r="A562" s="5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</row>
    <row r="563">
      <c r="A563" s="5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</row>
    <row r="564">
      <c r="A564" s="5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</row>
    <row r="565">
      <c r="A565" s="5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</row>
    <row r="566">
      <c r="A566" s="5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</row>
    <row r="567">
      <c r="A567" s="5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</row>
    <row r="568">
      <c r="A568" s="5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</row>
    <row r="569">
      <c r="A569" s="5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</row>
    <row r="570">
      <c r="A570" s="5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</row>
    <row r="571">
      <c r="A571" s="5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</row>
    <row r="572">
      <c r="A572" s="5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</row>
    <row r="573">
      <c r="A573" s="5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</row>
    <row r="574">
      <c r="A574" s="5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</row>
    <row r="575">
      <c r="A575" s="5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</row>
    <row r="576">
      <c r="A576" s="5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6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  <col width="16" customWidth="1" min="5" max="5"/>
    <col width="16" customWidth="1" min="6" max="6"/>
    <col width="14" customWidth="1" min="7" max="7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  <c r="E1" s="4" t="inlineStr">
        <is>
          <t>Category</t>
        </is>
      </c>
      <c r="F1" s="4" t="inlineStr">
        <is>
          <t>Group</t>
        </is>
      </c>
      <c r="G1" s="4" t="inlineStr">
        <is>
          <t>Contractor</t>
        </is>
      </c>
    </row>
    <row r="2">
      <c r="A2" s="5" t="n">
        <v>45659</v>
      </c>
      <c r="B2" t="inlineStr">
        <is>
          <t>Card Withdrawals - Debit Purchase - VISA On 123124 800-956-6310 IL 6122674711 $</t>
        </is>
      </c>
      <c r="C2" t="n">
        <v>409.37</v>
      </c>
      <c r="D2" t="inlineStr">
        <is>
          <t>Debit</t>
        </is>
      </c>
      <c r="E2" t="inlineStr">
        <is>
          <t>Tools</t>
        </is>
      </c>
      <c r="F2">
        <f>IF(E2="Income","Revenue",IF(OR(E2="Materials",E2="Labor",E2="Dump Fees"),"COGS",IF(OR(E2="Fuel",E2="Insurance",E2="Tools",E2="Repairs"),"Expense","Non-Deductible")))</f>
        <v/>
      </c>
    </row>
    <row r="3">
      <c r="A3" s="5" t="n">
        <v>45659</v>
      </c>
      <c r="B3" t="inlineStr">
        <is>
          <t>Other Withdrawals - Zelle Instant PMT To Nadia Session $</t>
        </is>
      </c>
      <c r="C3" t="n">
        <v>247</v>
      </c>
      <c r="D3" t="inlineStr">
        <is>
          <t>Debit</t>
        </is>
      </c>
      <c r="E3" t="inlineStr">
        <is>
          <t>Tools</t>
        </is>
      </c>
      <c r="F3">
        <f>IF(E3="Income","Revenue",IF(OR(E3="Materials",E3="Labor",E3="Dump Fees"),"COGS",IF(OR(E3="Fuel",E3="Insurance",E3="Tools",E3="Repairs"),"Expense","Non-Deductible")))</f>
        <v/>
      </c>
    </row>
    <row r="4">
      <c r="A4" s="5" t="n">
        <v>45660</v>
      </c>
      <c r="B4" t="inlineStr">
        <is>
          <t>Other Withdrawals - Zelle Instant PMT To Brian Davis</t>
        </is>
      </c>
      <c r="C4" t="n">
        <v>1120</v>
      </c>
      <c r="D4" t="inlineStr">
        <is>
          <t>Debit</t>
        </is>
      </c>
      <c r="E4" t="inlineStr">
        <is>
          <t>Labor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>
        <is>
          <t>Bryan</t>
        </is>
      </c>
    </row>
    <row r="5">
      <c r="A5" s="5" t="n">
        <v>45660</v>
      </c>
      <c r="B5" t="inlineStr">
        <is>
          <t>Other Withdrawals - Zelle Instant PMT To Casey Williamson</t>
        </is>
      </c>
      <c r="C5" t="n">
        <v>600</v>
      </c>
      <c r="D5" t="inlineStr">
        <is>
          <t>Debit</t>
        </is>
      </c>
      <c r="E5" t="inlineStr">
        <is>
          <t>Labor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>
        <is>
          <t>Casey</t>
        </is>
      </c>
    </row>
    <row r="6">
      <c r="A6" s="5" t="n">
        <v>45663</v>
      </c>
      <c r="B6" t="inlineStr">
        <is>
          <t>Other Withdrawals - Electronic Withdrawal To CEFCU TEL DEBIT</t>
        </is>
      </c>
      <c r="C6" t="n">
        <v>1042.46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</row>
    <row r="7">
      <c r="A7" s="5" t="n">
        <v>45664</v>
      </c>
      <c r="B7" t="inlineStr">
        <is>
          <t>Other Withdrawals - Mobile Banking Transfer To Account 152316874980</t>
        </is>
      </c>
      <c r="C7" t="n">
        <v>15</v>
      </c>
      <c r="D7" t="inlineStr">
        <is>
          <t>Debit</t>
        </is>
      </c>
      <c r="E7" t="inlineStr">
        <is>
          <t>Transfer</t>
        </is>
      </c>
      <c r="F7">
        <f>IF(E7="Income","Revenue",IF(OR(E7="Materials",E7="Labor",E7="Dump Fees"),"COGS",IF(OR(E7="Fuel",E7="Insurance",E7="Tools",E7="Repairs"),"Expense","Non-Deductible")))</f>
        <v/>
      </c>
    </row>
    <row r="8">
      <c r="A8" s="5" t="n">
        <v>45665</v>
      </c>
      <c r="B8" t="inlineStr">
        <is>
          <t>Card Withdrawals - Debit Purchase - VISA On 010725 O FALLON IL 7001446395</t>
        </is>
      </c>
      <c r="C8" t="n">
        <v>2.19</v>
      </c>
      <c r="D8" t="inlineStr">
        <is>
          <t>Debit</t>
        </is>
      </c>
      <c r="E8" t="inlineStr">
        <is>
          <t>Tools</t>
        </is>
      </c>
      <c r="F8">
        <f>IF(E8="Income","Revenue",IF(OR(E8="Materials",E8="Labor",E8="Dump Fees"),"COGS",IF(OR(E8="Fuel",E8="Insurance",E8="Tools",E8="Repairs"),"Expense","Non-Deductible")))</f>
        <v/>
      </c>
    </row>
    <row r="9">
      <c r="A9" s="5" t="n">
        <v>45665</v>
      </c>
      <c r="B9" t="inlineStr">
        <is>
          <t>Other Deposits - Debit Purchase Ret - VISA On 010725 8664244197 IL 7063781288 $</t>
        </is>
      </c>
      <c r="C9" t="n">
        <v>13.78</v>
      </c>
      <c r="D9" t="inlineStr">
        <is>
          <t>Credit</t>
        </is>
      </c>
      <c r="E9" t="inlineStr">
        <is>
          <t>Income</t>
        </is>
      </c>
      <c r="F9">
        <f>IF(E9="Income","Revenue",IF(OR(E9="Materials",E9="Labor",E9="Dump Fees"),"COGS",IF(OR(E9="Fuel",E9="Insurance",E9="Tools",E9="Repairs"),"Expense","Non-Deductible")))</f>
        <v/>
      </c>
    </row>
    <row r="10">
      <c r="A10" s="5" t="n">
        <v>45665</v>
      </c>
      <c r="B10" t="inlineStr">
        <is>
          <t>Other Withdrawals - Electronic Withdrawal To Mission Lane LLC</t>
        </is>
      </c>
      <c r="C10" t="n">
        <v>67.44</v>
      </c>
      <c r="D10" t="inlineStr">
        <is>
          <t>Debit</t>
        </is>
      </c>
      <c r="E10" t="inlineStr">
        <is>
          <t>Tools</t>
        </is>
      </c>
      <c r="F10">
        <f>IF(E10="Income","Revenue",IF(OR(E10="Materials",E10="Labor",E10="Dump Fees"),"COGS",IF(OR(E10="Fuel",E10="Insurance",E10="Tools",E10="Repairs"),"Expense","Non-Deductible")))</f>
        <v/>
      </c>
    </row>
    <row r="11">
      <c r="A11" s="5" t="n">
        <v>45666</v>
      </c>
      <c r="B11" t="inlineStr">
        <is>
          <t>Card Withdrawals - Debit Purchase - VISA On 010725 618-2869595 IL 8109867096</t>
        </is>
      </c>
      <c r="C11" t="n">
        <v>440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</row>
    <row r="12">
      <c r="A12" s="5" t="n">
        <v>45666</v>
      </c>
      <c r="B12" t="inlineStr">
        <is>
          <t>Other Withdrawals - Zelle Instant PMT To Brian Davis</t>
        </is>
      </c>
      <c r="C12" t="n">
        <v>80</v>
      </c>
      <c r="D12" t="inlineStr">
        <is>
          <t>Debit</t>
        </is>
      </c>
      <c r="E12" t="inlineStr">
        <is>
          <t>Labor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>
        <is>
          <t>Bryan</t>
        </is>
      </c>
    </row>
    <row r="13">
      <c r="A13" s="5" t="n">
        <v>45667</v>
      </c>
      <c r="B13" t="inlineStr">
        <is>
          <t>Card Withdrawals - Debit Purchase MOTOMART FREEBURG IL</t>
        </is>
      </c>
      <c r="C13" t="n">
        <v>61.97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</row>
    <row r="14">
      <c r="A14" s="5" t="n">
        <v>45667</v>
      </c>
      <c r="B14" t="inlineStr">
        <is>
          <t>Other Withdrawals - Mobile Banking Transfer To Account 152316875235</t>
        </is>
      </c>
      <c r="C14" t="n">
        <v>300</v>
      </c>
      <c r="D14" t="inlineStr">
        <is>
          <t>Debit</t>
        </is>
      </c>
      <c r="E14" t="inlineStr">
        <is>
          <t>Transfer</t>
        </is>
      </c>
      <c r="F14">
        <f>IF(E14="Income","Revenue",IF(OR(E14="Materials",E14="Labor",E14="Dump Fees"),"COGS",IF(OR(E14="Fuel",E14="Insurance",E14="Tools",E14="Repairs"),"Expense","Non-Deductible")))</f>
        <v/>
      </c>
    </row>
    <row r="15">
      <c r="A15" s="5" t="n">
        <v>45667</v>
      </c>
      <c r="B15" t="inlineStr">
        <is>
          <t>Other Withdrawals - Zelle Instant PMT To Brian Davis</t>
        </is>
      </c>
      <c r="C15" t="n">
        <v>945</v>
      </c>
      <c r="D15" t="inlineStr">
        <is>
          <t>Debit</t>
        </is>
      </c>
      <c r="E15" t="inlineStr">
        <is>
          <t>Labor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>
        <is>
          <t>Bryan</t>
        </is>
      </c>
    </row>
    <row r="16">
      <c r="A16" s="5" t="n">
        <v>45667</v>
      </c>
      <c r="B16" t="inlineStr">
        <is>
          <t>Other Withdrawals - Zelle Instant PMT To Casey Williamson</t>
        </is>
      </c>
      <c r="C16" t="n">
        <v>575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>
        <is>
          <t>Casey</t>
        </is>
      </c>
    </row>
    <row r="17">
      <c r="A17" s="5" t="n">
        <v>45670</v>
      </c>
      <c r="B17" t="inlineStr">
        <is>
          <t>Card Withdrawals - ATM Withdrawal 300 S GREEN MOUN BELLEVILLE IL</t>
        </is>
      </c>
      <c r="C17" t="n">
        <v>103.95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</row>
    <row r="18">
      <c r="A18" s="5" t="n">
        <v>45670</v>
      </c>
      <c r="B18" t="inlineStr">
        <is>
          <t>Card Withdrawals - Debit Purchase - VISA On 011125 Visa Direct NY 1000183320</t>
        </is>
      </c>
      <c r="C18" t="n">
        <v>100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</row>
    <row r="19">
      <c r="A19" s="5" t="n">
        <v>45670</v>
      </c>
      <c r="B19" t="inlineStr">
        <is>
          <t>Card Withdrawals - Debit Purchase CIRCLE K # 01361 BELLEVILLE IL</t>
        </is>
      </c>
      <c r="C19" t="n">
        <v>27.01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</row>
    <row r="20">
      <c r="A20" s="5" t="n">
        <v>45670</v>
      </c>
      <c r="B20" t="inlineStr">
        <is>
          <t>Card Withdrawals - Debit Purchase MOTOMART FREEBURG IL</t>
        </is>
      </c>
      <c r="C20" t="n">
        <v>87.64</v>
      </c>
      <c r="D20" t="inlineStr">
        <is>
          <t>Debit</t>
        </is>
      </c>
      <c r="E20" t="inlineStr">
        <is>
          <t>Tools</t>
        </is>
      </c>
      <c r="F20">
        <f>IF(E20="Income","Revenue",IF(OR(E20="Materials",E20="Labor",E20="Dump Fees"),"COGS",IF(OR(E20="Fuel",E20="Insurance",E20="Tools",E20="Repairs"),"Expense","Non-Deductible")))</f>
        <v/>
      </c>
    </row>
    <row r="21">
      <c r="A21" s="5" t="n">
        <v>45670</v>
      </c>
      <c r="B21" t="inlineStr">
        <is>
          <t>Card Withdrawals - Debit Purchase THE HOME DEPOT # BELLEVILLE IL 6901111158</t>
        </is>
      </c>
      <c r="C21" t="n">
        <v>371.21</v>
      </c>
      <c r="D21" t="inlineStr">
        <is>
          <t>Debit</t>
        </is>
      </c>
      <c r="E21" t="inlineStr">
        <is>
          <t>Materials</t>
        </is>
      </c>
      <c r="F21">
        <f>IF(E21="Income","Revenue",IF(OR(E21="Materials",E21="Labor",E21="Dump Fees"),"COGS",IF(OR(E21="Fuel",E21="Insurance",E21="Tools",E21="Repairs"),"Expense","Non-Deductible")))</f>
        <v/>
      </c>
    </row>
    <row r="22">
      <c r="A22" s="5" t="n">
        <v>45670</v>
      </c>
      <c r="B22" t="inlineStr">
        <is>
          <t>Card Withdrawals - Fee ATM Withdrawal At Other Network 1300000717 $</t>
        </is>
      </c>
      <c r="C22" t="n">
        <v>2.5</v>
      </c>
      <c r="D22" t="inlineStr">
        <is>
          <t>Debit</t>
        </is>
      </c>
      <c r="E22" t="inlineStr">
        <is>
          <t>Tools</t>
        </is>
      </c>
      <c r="F22">
        <f>IF(E22="Income","Revenue",IF(OR(E22="Materials",E22="Labor",E22="Dump Fees"),"COGS",IF(OR(E22="Fuel",E22="Insurance",E22="Tools",E22="Repairs"),"Expense","Non-Deductible")))</f>
        <v/>
      </c>
    </row>
    <row r="23">
      <c r="A23" s="5" t="n">
        <v>45670</v>
      </c>
      <c r="B23" t="inlineStr">
        <is>
          <t>Other Withdrawals - Electronic Withdrawal To MERCURY CARD FBT</t>
        </is>
      </c>
      <c r="C23" t="n">
        <v>573.53</v>
      </c>
      <c r="D23" t="inlineStr">
        <is>
          <t>Debit</t>
        </is>
      </c>
      <c r="E23" t="inlineStr">
        <is>
          <t>Tools</t>
        </is>
      </c>
      <c r="F23">
        <f>IF(E23="Income","Revenue",IF(OR(E23="Materials",E23="Labor",E23="Dump Fees"),"COGS",IF(OR(E23="Fuel",E23="Insurance",E23="Tools",E23="Repairs"),"Expense","Non-Deductible")))</f>
        <v/>
      </c>
    </row>
    <row r="24">
      <c r="A24" s="5" t="n">
        <v>45672</v>
      </c>
      <c r="B24" t="inlineStr">
        <is>
          <t>Card Withdrawals - Debit Purchase - VISA On 011425 618-2330303 IL 5006499752</t>
        </is>
      </c>
      <c r="C24" t="n">
        <v>74.54000000000001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</row>
    <row r="25">
      <c r="A25" s="5" t="n">
        <v>45672</v>
      </c>
      <c r="B25" t="inlineStr">
        <is>
          <t>Card Withdrawals - Debit Purchase - VISA On 011425 FREEBURG IL 4720240094</t>
        </is>
      </c>
      <c r="C25" t="n">
        <v>3.6</v>
      </c>
      <c r="D25" t="inlineStr">
        <is>
          <t>Debit</t>
        </is>
      </c>
      <c r="E25" t="inlineStr">
        <is>
          <t>Tools</t>
        </is>
      </c>
      <c r="F25">
        <f>IF(E25="Income","Revenue",IF(OR(E25="Materials",E25="Labor",E25="Dump Fees"),"COGS",IF(OR(E25="Fuel",E25="Insurance",E25="Tools",E25="Repairs"),"Expense","Non-Deductible")))</f>
        <v/>
      </c>
    </row>
    <row r="26">
      <c r="A26" s="5" t="n">
        <v>45672</v>
      </c>
      <c r="B26" t="inlineStr">
        <is>
          <t>Card Withdrawals - Debit Purchase CIRCLE K # 01343 SHILOH IL</t>
        </is>
      </c>
      <c r="C26" t="n">
        <v>28.98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</row>
    <row r="27">
      <c r="A27" s="5" t="n">
        <v>45672</v>
      </c>
      <c r="B27" t="inlineStr">
        <is>
          <t>Other Deposits - Mobile Check Deposit 8613623522</t>
        </is>
      </c>
      <c r="C27" t="n">
        <v>4400</v>
      </c>
      <c r="D27" t="inlineStr">
        <is>
          <t>Credit</t>
        </is>
      </c>
      <c r="E27" t="inlineStr">
        <is>
          <t>Income</t>
        </is>
      </c>
      <c r="F27">
        <f>IF(E27="Income","Revenue",IF(OR(E27="Materials",E27="Labor",E27="Dump Fees"),"COGS",IF(OR(E27="Fuel",E27="Insurance",E27="Tools",E27="Repairs"),"Expense","Non-Deductible")))</f>
        <v/>
      </c>
    </row>
    <row r="28">
      <c r="A28" s="5" t="n">
        <v>45672</v>
      </c>
      <c r="B28" t="inlineStr">
        <is>
          <t>Other Withdrawals - Analysis Service Charge 1600000000</t>
        </is>
      </c>
      <c r="C28" t="n">
        <v>16</v>
      </c>
      <c r="D28" t="inlineStr">
        <is>
          <t>Debit</t>
        </is>
      </c>
      <c r="E28" t="inlineStr">
        <is>
          <t>Repairs</t>
        </is>
      </c>
      <c r="F28">
        <f>IF(E28="Income","Revenue",IF(OR(E28="Materials",E28="Labor",E28="Dump Fees"),"COGS",IF(OR(E28="Fuel",E28="Insurance",E28="Tools",E28="Repairs"),"Expense","Non-Deductible")))</f>
        <v/>
      </c>
    </row>
    <row r="29">
      <c r="A29" s="5" t="n">
        <v>45672</v>
      </c>
      <c r="B29" t="inlineStr">
        <is>
          <t>Other Withdrawals - Electronic Withdrawal To CATHOLIC CCU</t>
        </is>
      </c>
      <c r="C29" t="n">
        <v>572.5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</row>
    <row r="30">
      <c r="A30" s="5" t="n">
        <v>45672</v>
      </c>
      <c r="B30" t="inlineStr">
        <is>
          <t>Other Withdrawals - Zelle Instant PMT To Tabitha Session</t>
        </is>
      </c>
      <c r="C30" t="n">
        <v>122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</row>
    <row r="31">
      <c r="A31" s="5" t="n">
        <v>45673</v>
      </c>
      <c r="B31" t="inlineStr">
        <is>
          <t>Card Withdrawals - ATM Withdrawal 1291 OLD BALDWIN NEW ATHENS IL</t>
        </is>
      </c>
      <c r="C31" t="n">
        <v>103.25</v>
      </c>
      <c r="D31" t="inlineStr">
        <is>
          <t>Debit</t>
        </is>
      </c>
      <c r="E31" t="inlineStr">
        <is>
          <t>Tools</t>
        </is>
      </c>
      <c r="F31">
        <f>IF(E31="Income","Revenue",IF(OR(E31="Materials",E31="Labor",E31="Dump Fees"),"COGS",IF(OR(E31="Fuel",E31="Insurance",E31="Tools",E31="Repairs"),"Expense","Non-Deductible")))</f>
        <v/>
      </c>
    </row>
    <row r="32">
      <c r="A32" s="5" t="n">
        <v>45673</v>
      </c>
      <c r="B32" t="inlineStr">
        <is>
          <t>Card Withdrawals - Debit Purchase - VISA On 011425 BELLEVILLE IL 5500546066</t>
        </is>
      </c>
      <c r="C32" t="n">
        <v>10.68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</row>
    <row r="33">
      <c r="A33" s="5" t="n">
        <v>45673</v>
      </c>
      <c r="B33" t="inlineStr">
        <is>
          <t>Card Withdrawals - Fee ATM Withdrawal At Other Network 1600000085</t>
        </is>
      </c>
      <c r="C33" t="n">
        <v>2.5</v>
      </c>
      <c r="D33" t="inlineStr">
        <is>
          <t>Debit</t>
        </is>
      </c>
      <c r="E33" t="inlineStr">
        <is>
          <t>Tools</t>
        </is>
      </c>
      <c r="F33">
        <f>IF(E33="Income","Revenue",IF(OR(E33="Materials",E33="Labor",E33="Dump Fees"),"COGS",IF(OR(E33="Fuel",E33="Insurance",E33="Tools",E33="Repairs"),"Expense","Non-Deductible")))</f>
        <v/>
      </c>
    </row>
    <row r="34">
      <c r="A34" s="5" t="n">
        <v>45673</v>
      </c>
      <c r="B34" t="inlineStr">
        <is>
          <t>Other Deposits - Mobile Banking Transfer From Account 152316874980</t>
        </is>
      </c>
      <c r="C34" t="n">
        <v>2700</v>
      </c>
      <c r="D34" t="inlineStr">
        <is>
          <t>Credit</t>
        </is>
      </c>
      <c r="E34" t="inlineStr">
        <is>
          <t>Transfer</t>
        </is>
      </c>
      <c r="F34">
        <f>IF(E34="Income","Revenue",IF(OR(E34="Materials",E34="Labor",E34="Dump Fees"),"COGS",IF(OR(E34="Fuel",E34="Insurance",E34="Tools",E34="Repairs"),"Expense","Non-Deductible")))</f>
        <v/>
      </c>
    </row>
    <row r="35">
      <c r="A35" s="5" t="n">
        <v>45673</v>
      </c>
      <c r="B35" t="inlineStr">
        <is>
          <t>Other Withdrawals - Mobile Banking Payment To Credit Card *************3424</t>
        </is>
      </c>
      <c r="C35" t="n">
        <v>1979.96</v>
      </c>
      <c r="D35" t="inlineStr">
        <is>
          <t>Debit</t>
        </is>
      </c>
      <c r="E35" t="inlineStr">
        <is>
          <t>Fuel</t>
        </is>
      </c>
      <c r="F35">
        <f>IF(E35="Income","Revenue",IF(OR(E35="Materials",E35="Labor",E35="Dump Fees"),"COGS",IF(OR(E35="Fuel",E35="Insurance",E35="Tools",E35="Repairs"),"Expense","Non-Deductible")))</f>
        <v/>
      </c>
    </row>
    <row r="36">
      <c r="A36" s="5" t="n">
        <v>45673</v>
      </c>
      <c r="B36" t="inlineStr">
        <is>
          <t>Other Withdrawals - Mobile Banking Transfer To Account 152316875235</t>
        </is>
      </c>
      <c r="C36" t="n">
        <v>500</v>
      </c>
      <c r="D36" t="inlineStr">
        <is>
          <t>Debit</t>
        </is>
      </c>
      <c r="E36" t="inlineStr">
        <is>
          <t>Transfer</t>
        </is>
      </c>
      <c r="F36">
        <f>IF(E36="Income","Revenue",IF(OR(E36="Materials",E36="Labor",E36="Dump Fees"),"COGS",IF(OR(E36="Fuel",E36="Insurance",E36="Tools",E36="Repairs"),"Expense","Non-Deductible")))</f>
        <v/>
      </c>
    </row>
    <row r="37">
      <c r="A37" s="5" t="n">
        <v>45674</v>
      </c>
      <c r="B37" t="inlineStr">
        <is>
          <t>Card Withdrawals - Debit Purchase MOTOMART FREEBURG IL</t>
        </is>
      </c>
      <c r="C37" t="n">
        <v>12.7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</row>
    <row r="38">
      <c r="A38" s="5" t="n">
        <v>45674</v>
      </c>
      <c r="B38" t="inlineStr">
        <is>
          <t>Card Withdrawals - Debit Purchase MOTOMART FREEBURG IL</t>
        </is>
      </c>
      <c r="C38" t="n">
        <v>85.87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</row>
    <row r="39">
      <c r="A39" s="5" t="n">
        <v>45674</v>
      </c>
      <c r="B39" t="inlineStr">
        <is>
          <t>Other Withdrawals - Electronic Withdrawal To MIDLAND MTG</t>
        </is>
      </c>
      <c r="C39" t="n">
        <v>1089.56</v>
      </c>
      <c r="D39" t="inlineStr">
        <is>
          <t>Debit</t>
        </is>
      </c>
      <c r="E39" t="inlineStr">
        <is>
          <t>Tools</t>
        </is>
      </c>
      <c r="F39">
        <f>IF(E39="Income","Revenue",IF(OR(E39="Materials",E39="Labor",E39="Dump Fees"),"COGS",IF(OR(E39="Fuel",E39="Insurance",E39="Tools",E39="Repairs"),"Expense","Non-Deductible")))</f>
        <v/>
      </c>
    </row>
    <row r="40">
      <c r="A40" s="5" t="n">
        <v>45674</v>
      </c>
      <c r="B40" t="inlineStr">
        <is>
          <t>Other Withdrawals - Zelle Instant PMT To BRIAN DAVIS</t>
        </is>
      </c>
      <c r="C40" t="n">
        <v>1330</v>
      </c>
      <c r="D40" t="inlineStr">
        <is>
          <t>Debit</t>
        </is>
      </c>
      <c r="E40" t="inlineStr">
        <is>
          <t>Labor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>
        <is>
          <t>Bryan</t>
        </is>
      </c>
    </row>
    <row r="41">
      <c r="A41" s="5" t="n">
        <v>45674</v>
      </c>
      <c r="B41" t="inlineStr">
        <is>
          <t>Other Withdrawals - Zelle Instant PMT To Casey Williamson</t>
        </is>
      </c>
      <c r="C41" t="n">
        <v>600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>
        <is>
          <t>Casey</t>
        </is>
      </c>
    </row>
    <row r="42">
      <c r="A42" s="5" t="n">
        <v>45674</v>
      </c>
      <c r="B42" t="inlineStr">
        <is>
          <t>Other Withdrawals - Zelle Instant PMT To Nadia Session</t>
        </is>
      </c>
      <c r="C42" t="n">
        <v>100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</row>
    <row r="43">
      <c r="A43" s="5" t="n">
        <v>45678</v>
      </c>
      <c r="B43" t="inlineStr">
        <is>
          <t>Card Withdrawals - Debit Purchase DOLLAR-GENERAL # FREEBURG IL 2301191431</t>
        </is>
      </c>
      <c r="C43" t="n">
        <v>87.41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</row>
    <row r="44">
      <c r="A44" s="5" t="n">
        <v>45678</v>
      </c>
      <c r="B44" t="inlineStr">
        <is>
          <t>Card Withdrawals - Debit Purchase verifyvend855-55 PROVIDENCE RI 1201201605</t>
        </is>
      </c>
      <c r="C44" t="n">
        <v>236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</row>
    <row r="45">
      <c r="A45" s="5" t="n">
        <v>45680</v>
      </c>
      <c r="B45" t="inlineStr">
        <is>
          <t>Other Withdrawals - Mobile Banking Transfer To Account 152316874980</t>
        </is>
      </c>
      <c r="C45" t="n">
        <v>66</v>
      </c>
      <c r="D45" t="inlineStr">
        <is>
          <t>Debit</t>
        </is>
      </c>
      <c r="E45" t="inlineStr">
        <is>
          <t>Transfer</t>
        </is>
      </c>
      <c r="F45">
        <f>IF(E45="Income","Revenue",IF(OR(E45="Materials",E45="Labor",E45="Dump Fees"),"COGS",IF(OR(E45="Fuel",E45="Insurance",E45="Tools",E45="Repairs"),"Expense","Non-Deductible")))</f>
        <v/>
      </c>
    </row>
    <row r="46">
      <c r="A46" s="5" t="n">
        <v>45681</v>
      </c>
      <c r="B46" t="inlineStr">
        <is>
          <t>Other Withdrawals - Mobile Banking Transfer To Account 152316875235</t>
        </is>
      </c>
      <c r="C46" t="n">
        <v>850</v>
      </c>
      <c r="D46" t="inlineStr">
        <is>
          <t>Debit</t>
        </is>
      </c>
      <c r="E46" t="inlineStr">
        <is>
          <t>Transfer</t>
        </is>
      </c>
      <c r="F46">
        <f>IF(E46="Income","Revenue",IF(OR(E46="Materials",E46="Labor",E46="Dump Fees"),"COGS",IF(OR(E46="Fuel",E46="Insurance",E46="Tools",E46="Repairs"),"Expense","Non-Deductible")))</f>
        <v/>
      </c>
    </row>
    <row r="47">
      <c r="A47" s="5" t="n">
        <v>45681</v>
      </c>
      <c r="B47" t="inlineStr">
        <is>
          <t>Other Withdrawals - Zelle Instant PMT To Brian Davis</t>
        </is>
      </c>
      <c r="C47" t="n">
        <v>890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>
        <is>
          <t>Bryan</t>
        </is>
      </c>
    </row>
    <row r="48">
      <c r="A48" s="5" t="n">
        <v>45681</v>
      </c>
      <c r="B48" t="inlineStr">
        <is>
          <t>Other Withdrawals - Zelle Instant PMT To Casey Williamson</t>
        </is>
      </c>
      <c r="C48" t="n">
        <v>200</v>
      </c>
      <c r="D48" t="inlineStr">
        <is>
          <t>Debit</t>
        </is>
      </c>
      <c r="E48" t="inlineStr">
        <is>
          <t>Labor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>
        <is>
          <t>Casey</t>
        </is>
      </c>
    </row>
    <row r="49">
      <c r="A49" s="5" t="n">
        <v>45684</v>
      </c>
      <c r="B49" t="inlineStr">
        <is>
          <t>Card Withdrawals - Debit Purchase MOTOMART FREEBURG IL</t>
        </is>
      </c>
      <c r="C49" t="n">
        <v>86.56999999999999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</row>
    <row r="50">
      <c r="A50" s="5" t="n">
        <v>45684</v>
      </c>
      <c r="B50" t="inlineStr">
        <is>
          <t>Card Withdrawals - Recurring Debit Purchase On 012525 888-270-2644 IN 6101039921</t>
        </is>
      </c>
      <c r="C50" t="n">
        <v>817.5</v>
      </c>
      <c r="D50" t="inlineStr">
        <is>
          <t>Debit</t>
        </is>
      </c>
      <c r="E50" t="inlineStr">
        <is>
          <t>Tools</t>
        </is>
      </c>
      <c r="F50">
        <f>IF(E50="Income","Revenue",IF(OR(E50="Materials",E50="Labor",E50="Dump Fees"),"COGS",IF(OR(E50="Fuel",E50="Insurance",E50="Tools",E50="Repairs"),"Expense","Non-Deductible")))</f>
        <v/>
      </c>
    </row>
    <row r="51">
      <c r="A51" s="5" t="n">
        <v>45685</v>
      </c>
      <c r="B51" t="inlineStr">
        <is>
          <t>Card Withdrawals - Debit Purchase MOTOMART FREEBURG IL</t>
        </is>
      </c>
      <c r="C51" t="n">
        <v>82.94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</row>
    <row r="52">
      <c r="A52" s="5" t="n">
        <v>45688</v>
      </c>
      <c r="B52" t="inlineStr">
        <is>
          <t>Card Withdrawals - Recurring Debit Purchase On 013025 800-956-6310 IL 0140734882</t>
        </is>
      </c>
      <c r="C52" t="n">
        <v>328.76</v>
      </c>
      <c r="D52" t="inlineStr">
        <is>
          <t>Debit</t>
        </is>
      </c>
      <c r="E52" t="inlineStr">
        <is>
          <t>Tools</t>
        </is>
      </c>
      <c r="F52">
        <f>IF(E52="Income","Revenue",IF(OR(E52="Materials",E52="Labor",E52="Dump Fees"),"COGS",IF(OR(E52="Fuel",E52="Insurance",E52="Tools",E52="Repairs"),"Expense","Non-Deductible")))</f>
        <v/>
      </c>
    </row>
    <row r="53">
      <c r="A53" s="5" t="n">
        <v>45688</v>
      </c>
      <c r="B53" t="inlineStr">
        <is>
          <t>Other Withdrawals - Customer Withdrawal 9213013769</t>
        </is>
      </c>
      <c r="C53" t="n">
        <v>2000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</row>
    <row r="54">
      <c r="A54" s="5" t="n">
        <v>45688</v>
      </c>
      <c r="B54" t="inlineStr">
        <is>
          <t>Other Withdrawals - Mobile Banking Transfer To Account 152316875235</t>
        </is>
      </c>
      <c r="C54" t="n">
        <v>750</v>
      </c>
      <c r="D54" t="inlineStr">
        <is>
          <t>Debit</t>
        </is>
      </c>
      <c r="E54" t="inlineStr">
        <is>
          <t>Transfer</t>
        </is>
      </c>
      <c r="F54">
        <f>IF(E54="Income","Revenue",IF(OR(E54="Materials",E54="Labor",E54="Dump Fees"),"COGS",IF(OR(E54="Fuel",E54="Insurance",E54="Tools",E54="Repairs"),"Expense","Non-Deductible")))</f>
        <v/>
      </c>
    </row>
    <row r="55">
      <c r="A55" s="5" t="n">
        <v>45688</v>
      </c>
      <c r="B55" t="inlineStr">
        <is>
          <t>Other Withdrawals - Zelle Instant PMT To Brian Davis</t>
        </is>
      </c>
      <c r="C55" t="n">
        <v>1450</v>
      </c>
      <c r="D55" t="inlineStr">
        <is>
          <t>Debit</t>
        </is>
      </c>
      <c r="E55" t="inlineStr">
        <is>
          <t>Labor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>
        <is>
          <t>Bryan</t>
        </is>
      </c>
    </row>
    <row r="56">
      <c r="A56" s="5" t="n">
        <v>45688</v>
      </c>
      <c r="B56" t="inlineStr">
        <is>
          <t>Other Withdrawals - Zelle Instant PMT To Casey Williamson</t>
        </is>
      </c>
      <c r="C56" t="n">
        <v>800</v>
      </c>
      <c r="D56" t="inlineStr">
        <is>
          <t>Debit</t>
        </is>
      </c>
      <c r="E56" t="inlineStr">
        <is>
          <t>Labor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>
        <is>
          <t>Casey</t>
        </is>
      </c>
    </row>
    <row r="57">
      <c r="A57" s="5" t="n">
        <v>45691</v>
      </c>
      <c r="B57" t="inlineStr">
        <is>
          <t>Card Withdrawals - ATM Withdrawal 1291 OLD BALDWIN NEW ATHENS IL</t>
        </is>
      </c>
      <c r="C57" t="n">
        <v>203.25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</row>
    <row r="58">
      <c r="A58" s="5" t="n">
        <v>45691</v>
      </c>
      <c r="B58" t="inlineStr">
        <is>
          <t>Card Withdrawals - ATM Withdrawal 301 SALEM PL FAIRVIEW HEI IL</t>
        </is>
      </c>
      <c r="C58" t="n">
        <v>103.95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</row>
    <row r="59">
      <c r="A59" s="5" t="n">
        <v>45691</v>
      </c>
      <c r="B59" t="inlineStr">
        <is>
          <t>Card Withdrawals - Debit Purchase CIRCLE K 01594 3 FAIRVIEW HEIIL $</t>
        </is>
      </c>
      <c r="C59" t="n">
        <v>93.23</v>
      </c>
      <c r="D59" t="inlineStr">
        <is>
          <t>Debit</t>
        </is>
      </c>
      <c r="E59" t="inlineStr">
        <is>
          <t>Tools</t>
        </is>
      </c>
      <c r="F59">
        <f>IF(E59="Income","Revenue",IF(OR(E59="Materials",E59="Labor",E59="Dump Fees"),"COGS",IF(OR(E59="Fuel",E59="Insurance",E59="Tools",E59="Repairs"),"Expense","Non-Deductible")))</f>
        <v/>
      </c>
    </row>
    <row r="60">
      <c r="A60" s="5" t="n">
        <v>45691</v>
      </c>
      <c r="B60" t="inlineStr">
        <is>
          <t>Card Withdrawals - Fee ATM Withdrawal At Other Network 0300000324 $</t>
        </is>
      </c>
      <c r="C60" t="n">
        <v>2.5</v>
      </c>
      <c r="D60" t="inlineStr">
        <is>
          <t>Debit</t>
        </is>
      </c>
      <c r="E60" t="inlineStr">
        <is>
          <t>Tools</t>
        </is>
      </c>
      <c r="F60">
        <f>IF(E60="Income","Revenue",IF(OR(E60="Materials",E60="Labor",E60="Dump Fees"),"COGS",IF(OR(E60="Fuel",E60="Insurance",E60="Tools",E60="Repairs"),"Expense","Non-Deductible")))</f>
        <v/>
      </c>
    </row>
    <row r="61">
      <c r="A61" s="5" t="n">
        <v>45691</v>
      </c>
      <c r="B61" t="inlineStr">
        <is>
          <t>Card Withdrawals - Fee ATM Withdrawal At Other Network 0300000325</t>
        </is>
      </c>
      <c r="C61" t="n">
        <v>2.5</v>
      </c>
      <c r="D61" t="inlineStr">
        <is>
          <t>Debit</t>
        </is>
      </c>
      <c r="E61" t="inlineStr">
        <is>
          <t>Tools</t>
        </is>
      </c>
      <c r="F61">
        <f>IF(E61="Income","Revenue",IF(OR(E61="Materials",E61="Labor",E61="Dump Fees"),"COGS",IF(OR(E61="Fuel",E61="Insurance",E61="Tools",E61="Repairs"),"Expense","Non-Deductible")))</f>
        <v/>
      </c>
    </row>
    <row r="62">
      <c r="A62" s="5" t="n">
        <v>45691</v>
      </c>
      <c r="B62" t="inlineStr">
        <is>
          <t>Other Withdrawals - Electronic Withdrawal To DISCOVER</t>
        </is>
      </c>
      <c r="C62" t="n">
        <v>3906.11</v>
      </c>
      <c r="D62" t="inlineStr">
        <is>
          <t>Debit</t>
        </is>
      </c>
      <c r="E62" t="inlineStr">
        <is>
          <t>Tools</t>
        </is>
      </c>
      <c r="F62">
        <f>IF(E62="Income","Revenue",IF(OR(E62="Materials",E62="Labor",E62="Dump Fees"),"COGS",IF(OR(E62="Fuel",E62="Insurance",E62="Tools",E62="Repairs"),"Expense","Non-Deductible")))</f>
        <v/>
      </c>
    </row>
    <row r="63">
      <c r="A63" s="5" t="n">
        <v>45691</v>
      </c>
      <c r="B63" t="inlineStr">
        <is>
          <t>Other Withdrawals - Electronic Withdrawal To DISCOVER $</t>
        </is>
      </c>
      <c r="C63" t="n">
        <v>34.85</v>
      </c>
      <c r="D63" t="inlineStr">
        <is>
          <t>Debit</t>
        </is>
      </c>
      <c r="E63" t="inlineStr">
        <is>
          <t>Tools</t>
        </is>
      </c>
      <c r="F63">
        <f>IF(E63="Income","Revenue",IF(OR(E63="Materials",E63="Labor",E63="Dump Fees"),"COGS",IF(OR(E63="Fuel",E63="Insurance",E63="Tools",E63="Repairs"),"Expense","Non-Deductible")))</f>
        <v/>
      </c>
    </row>
    <row r="64">
      <c r="A64" s="5" t="n">
        <v>45691</v>
      </c>
      <c r="B64" t="inlineStr">
        <is>
          <t>Other Withdrawals - Electronic Withdrawal To MERCURY CARD FBT</t>
        </is>
      </c>
      <c r="C64" t="n">
        <v>1364.91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</row>
    <row r="65">
      <c r="A65" s="5" t="n">
        <v>45691</v>
      </c>
      <c r="B65" t="inlineStr">
        <is>
          <t>Other Withdrawals - Electronic Withdrawal To Mission Lane LLC</t>
        </is>
      </c>
      <c r="C65" t="n">
        <v>1110.22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</row>
    <row r="66">
      <c r="A66" s="5" t="n">
        <v>45691</v>
      </c>
      <c r="B66" t="inlineStr">
        <is>
          <t>Other Withdrawals - Mobile Banking Payment To Credit Card *************3424</t>
        </is>
      </c>
      <c r="C66" t="n">
        <v>1979.96</v>
      </c>
      <c r="D66" t="inlineStr">
        <is>
          <t>Debit</t>
        </is>
      </c>
      <c r="E66" t="inlineStr">
        <is>
          <t>Fuel</t>
        </is>
      </c>
      <c r="F66">
        <f>IF(E66="Income","Revenue",IF(OR(E66="Materials",E66="Labor",E66="Dump Fees"),"COGS",IF(OR(E66="Fuel",E66="Insurance",E66="Tools",E66="Repairs"),"Expense","Non-Deductible")))</f>
        <v/>
      </c>
    </row>
    <row r="67">
      <c r="A67" s="5" t="n">
        <v>45691</v>
      </c>
      <c r="B67" t="inlineStr">
        <is>
          <t>Other Withdrawals - Mobile Banking Transfer To Account 152316875235</t>
        </is>
      </c>
      <c r="C67" t="n">
        <v>288.8</v>
      </c>
      <c r="D67" t="inlineStr">
        <is>
          <t>Debit</t>
        </is>
      </c>
      <c r="E67" t="inlineStr">
        <is>
          <t>Transfer</t>
        </is>
      </c>
      <c r="F67">
        <f>IF(E67="Income","Revenue",IF(OR(E67="Materials",E67="Labor",E67="Dump Fees"),"COGS",IF(OR(E67="Fuel",E67="Insurance",E67="Tools",E67="Repairs"),"Expense","Non-Deductible")))</f>
        <v/>
      </c>
    </row>
    <row r="68">
      <c r="A68" s="5" t="n">
        <v>45692</v>
      </c>
      <c r="B68" t="inlineStr">
        <is>
          <t>Other Withdrawals - Electronic Withdrawal To CEFCU TEL DEBIT</t>
        </is>
      </c>
      <c r="C68" t="n">
        <v>1042.46</v>
      </c>
      <c r="D68" t="inlineStr">
        <is>
          <t>Debit</t>
        </is>
      </c>
      <c r="E68" t="inlineStr">
        <is>
          <t>Tools</t>
        </is>
      </c>
      <c r="F68">
        <f>IF(E68="Income","Revenue",IF(OR(E68="Materials",E68="Labor",E68="Dump Fees"),"COGS",IF(OR(E68="Fuel",E68="Insurance",E68="Tools",E68="Repairs"),"Expense","Non-Deductible")))</f>
        <v/>
      </c>
    </row>
    <row r="69">
      <c r="A69" s="5" t="n">
        <v>45693</v>
      </c>
      <c r="B69" t="inlineStr">
        <is>
          <t>Other Withdrawals - Electronic Withdrawal To MIDLAND MTG</t>
        </is>
      </c>
      <c r="C69" t="n">
        <v>1089.56</v>
      </c>
      <c r="D69" t="inlineStr">
        <is>
          <t>Debit</t>
        </is>
      </c>
      <c r="E69" t="inlineStr">
        <is>
          <t>Tools</t>
        </is>
      </c>
      <c r="F69">
        <f>IF(E69="Income","Revenue",IF(OR(E69="Materials",E69="Labor",E69="Dump Fees"),"COGS",IF(OR(E69="Fuel",E69="Insurance",E69="Tools",E69="Repairs"),"Expense","Non-Deductible")))</f>
        <v/>
      </c>
    </row>
    <row r="70">
      <c r="A70" s="5" t="n">
        <v>45694</v>
      </c>
      <c r="B70" t="inlineStr">
        <is>
          <t>Card Withdrawals - Debit Purchase verifyvend855-55 PROVIDENCE RI 0402061511</t>
        </is>
      </c>
      <c r="C70" t="n">
        <v>183</v>
      </c>
      <c r="D70" t="inlineStr">
        <is>
          <t>Debit</t>
        </is>
      </c>
      <c r="E70" t="inlineStr">
        <is>
          <t>Tools</t>
        </is>
      </c>
      <c r="F70">
        <f>IF(E70="Income","Revenue",IF(OR(E70="Materials",E70="Labor",E70="Dump Fees"),"COGS",IF(OR(E70="Fuel",E70="Insurance",E70="Tools",E70="Repairs"),"Expense","Non-Deductible")))</f>
        <v/>
      </c>
    </row>
    <row r="71">
      <c r="A71" s="5" t="n">
        <v>45695</v>
      </c>
      <c r="B71" t="inlineStr">
        <is>
          <t>Card Withdrawals - Debit Purchase CASEYS #3252 129 NEW ATHENS IL 6202061905</t>
        </is>
      </c>
      <c r="C71" t="n">
        <v>12.5</v>
      </c>
      <c r="D71" t="inlineStr">
        <is>
          <t>Debit</t>
        </is>
      </c>
      <c r="E71" t="inlineStr">
        <is>
          <t>Labor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>
        <is>
          <t>Casey</t>
        </is>
      </c>
    </row>
    <row r="72">
      <c r="A72" s="5" t="n">
        <v>45695</v>
      </c>
      <c r="B72" t="inlineStr">
        <is>
          <t>Card Withdrawals - Debit Purchase MOTOMART FREEBURG IL</t>
        </is>
      </c>
      <c r="C72" t="n">
        <v>85.7</v>
      </c>
      <c r="D72" t="inlineStr">
        <is>
          <t>Debit</t>
        </is>
      </c>
      <c r="E72" t="inlineStr">
        <is>
          <t>Tools</t>
        </is>
      </c>
      <c r="F72">
        <f>IF(E72="Income","Revenue",IF(OR(E72="Materials",E72="Labor",E72="Dump Fees"),"COGS",IF(OR(E72="Fuel",E72="Insurance",E72="Tools",E72="Repairs"),"Expense","Non-Deductible")))</f>
        <v/>
      </c>
    </row>
    <row r="73">
      <c r="A73" s="5" t="n">
        <v>45695</v>
      </c>
      <c r="B73" t="inlineStr">
        <is>
          <t>Other Withdrawals - Zelle Instant PMT To Brian Davis</t>
        </is>
      </c>
      <c r="C73" t="n">
        <v>1380</v>
      </c>
      <c r="D73" t="inlineStr">
        <is>
          <t>Debit</t>
        </is>
      </c>
      <c r="E73" t="inlineStr">
        <is>
          <t>Labor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>
        <is>
          <t>Bryan</t>
        </is>
      </c>
    </row>
    <row r="74">
      <c r="A74" s="5" t="n">
        <v>45695</v>
      </c>
      <c r="B74" t="inlineStr">
        <is>
          <t>Other Withdrawals - Zelle Instant PMT To Casey Williamson</t>
        </is>
      </c>
      <c r="C74" t="n">
        <v>950</v>
      </c>
      <c r="D74" t="inlineStr">
        <is>
          <t>Debit</t>
        </is>
      </c>
      <c r="E74" t="inlineStr">
        <is>
          <t>Labor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>
        <is>
          <t>Casey</t>
        </is>
      </c>
    </row>
    <row r="75">
      <c r="A75" s="5" t="n">
        <v>45695</v>
      </c>
      <c r="B75" t="inlineStr">
        <is>
          <t>Other Withdrawals - Zelle Instant PMT To Tabitha Session</t>
        </is>
      </c>
      <c r="C75" t="n">
        <v>500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</row>
    <row r="76">
      <c r="A76" s="5" t="n">
        <v>45698</v>
      </c>
      <c r="B76" t="inlineStr">
        <is>
          <t>Card Withdrawals - Debit Purchase - VISA On 020625 SHILOH IL 8236407155</t>
        </is>
      </c>
      <c r="C76" t="n">
        <v>22.5</v>
      </c>
      <c r="D76" t="inlineStr">
        <is>
          <t>Debit</t>
        </is>
      </c>
      <c r="E76" t="inlineStr">
        <is>
          <t>Tools</t>
        </is>
      </c>
      <c r="F76">
        <f>IF(E76="Income","Revenue",IF(OR(E76="Materials",E76="Labor",E76="Dump Fees"),"COGS",IF(OR(E76="Fuel",E76="Insurance",E76="Tools",E76="Repairs"),"Expense","Non-Deductible")))</f>
        <v/>
      </c>
    </row>
    <row r="77">
      <c r="A77" s="5" t="n">
        <v>45698</v>
      </c>
      <c r="B77" t="inlineStr">
        <is>
          <t>Other Withdrawals - Zelle Instant PMT To Nadia Session</t>
        </is>
      </c>
      <c r="C77" t="n">
        <v>243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</row>
    <row r="78">
      <c r="A78" s="5" t="n">
        <v>45698</v>
      </c>
      <c r="B78" t="inlineStr">
        <is>
          <t>Other Withdrawals - Zelle Instant PMT To Tabitha Session</t>
        </is>
      </c>
      <c r="C78" t="n">
        <v>60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</row>
    <row r="79">
      <c r="A79" s="5" t="n">
        <v>45698</v>
      </c>
      <c r="B79" t="inlineStr">
        <is>
          <t>Other Withdrawals - Zelle Instant PMT To Tabitha Session</t>
        </is>
      </c>
      <c r="C79" t="n">
        <v>70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</row>
    <row r="80">
      <c r="A80" s="5" t="n">
        <v>45698</v>
      </c>
      <c r="B80" t="inlineStr">
        <is>
          <t>Other Withdrawals - Zelle Instant PMT To Tabitha Session</t>
        </is>
      </c>
      <c r="C80" t="n">
        <v>140</v>
      </c>
      <c r="D80" t="inlineStr">
        <is>
          <t>Debit</t>
        </is>
      </c>
      <c r="E80" t="inlineStr">
        <is>
          <t>Tools</t>
        </is>
      </c>
      <c r="F80">
        <f>IF(E80="Income","Revenue",IF(OR(E80="Materials",E80="Labor",E80="Dump Fees"),"COGS",IF(OR(E80="Fuel",E80="Insurance",E80="Tools",E80="Repairs"),"Expense","Non-Deductible")))</f>
        <v/>
      </c>
    </row>
    <row r="81">
      <c r="A81" s="5" t="n">
        <v>45698</v>
      </c>
      <c r="B81" t="inlineStr">
        <is>
          <t>Other Withdrawals - Zelle Instant PMT To Tabitha Session</t>
        </is>
      </c>
      <c r="C81" t="n">
        <v>250</v>
      </c>
      <c r="D81" t="inlineStr">
        <is>
          <t>Debit</t>
        </is>
      </c>
      <c r="E81" t="inlineStr">
        <is>
          <t>Tools</t>
        </is>
      </c>
      <c r="F81">
        <f>IF(E81="Income","Revenue",IF(OR(E81="Materials",E81="Labor",E81="Dump Fees"),"COGS",IF(OR(E81="Fuel",E81="Insurance",E81="Tools",E81="Repairs"),"Expense","Non-Deductible")))</f>
        <v/>
      </c>
    </row>
    <row r="82">
      <c r="A82" s="5" t="n">
        <v>45699</v>
      </c>
      <c r="B82" t="inlineStr">
        <is>
          <t>Card Withdrawals - ATM Withdrawal 1291 OLD BALDWIN NEW ATHENS IL</t>
        </is>
      </c>
      <c r="C82" t="n">
        <v>203.25</v>
      </c>
      <c r="D82" t="inlineStr">
        <is>
          <t>Debit</t>
        </is>
      </c>
      <c r="E82" t="inlineStr">
        <is>
          <t>Tools</t>
        </is>
      </c>
      <c r="F82">
        <f>IF(E82="Income","Revenue",IF(OR(E82="Materials",E82="Labor",E82="Dump Fees"),"COGS",IF(OR(E82="Fuel",E82="Insurance",E82="Tools",E82="Repairs"),"Expense","Non-Deductible")))</f>
        <v/>
      </c>
    </row>
    <row r="83">
      <c r="A83" s="5" t="n">
        <v>45699</v>
      </c>
      <c r="B83" t="inlineStr">
        <is>
          <t>Card Withdrawals - Fee ATM Withdrawal At Other Network 1100000109</t>
        </is>
      </c>
      <c r="C83" t="n">
        <v>2.5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</row>
    <row r="84">
      <c r="A84" s="5" t="n">
        <v>45700</v>
      </c>
      <c r="B84" t="inlineStr">
        <is>
          <t>Card Withdrawals - Debit Purchase DOLLAR-GENERAL # FREEBURG IL 9502121134</t>
        </is>
      </c>
      <c r="C84" t="n">
        <v>77.55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</row>
    <row r="85">
      <c r="A85" s="5" t="n">
        <v>45700</v>
      </c>
      <c r="B85" t="inlineStr">
        <is>
          <t>Other Withdrawals - Zelle Instant PMT To Tabitha Session</t>
        </is>
      </c>
      <c r="C85" t="n">
        <v>182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</row>
    <row r="86">
      <c r="A86" s="5" t="n">
        <v>45701</v>
      </c>
      <c r="B86" t="inlineStr">
        <is>
          <t>Card Withdrawals - Debit Purchase - VISA On 021225 BELLEVILLE IL 4106251248</t>
        </is>
      </c>
      <c r="C86" t="n">
        <v>39.45</v>
      </c>
      <c r="D86" t="inlineStr">
        <is>
          <t>Debit</t>
        </is>
      </c>
      <c r="E86" t="inlineStr">
        <is>
          <t>Tools</t>
        </is>
      </c>
      <c r="F86">
        <f>IF(E86="Income","Revenue",IF(OR(E86="Materials",E86="Labor",E86="Dump Fees"),"COGS",IF(OR(E86="Fuel",E86="Insurance",E86="Tools",E86="Repairs"),"Expense","Non-Deductible")))</f>
        <v/>
      </c>
    </row>
    <row r="87">
      <c r="A87" s="5" t="n">
        <v>45702</v>
      </c>
      <c r="B87" t="inlineStr">
        <is>
          <t>Card Withdrawals - Debit Purchase - VISA On 021225 FREEBURG IL 4300573998</t>
        </is>
      </c>
      <c r="C87" t="n">
        <v>76.28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</row>
    <row r="88">
      <c r="A88" s="5" t="n">
        <v>45702</v>
      </c>
      <c r="B88" t="inlineStr">
        <is>
          <t>Card Withdrawals - Debit Purchase verifyvend855-55 PROVIDENCE RI 4702141520</t>
        </is>
      </c>
      <c r="C88" t="n">
        <v>208</v>
      </c>
      <c r="D88" t="inlineStr">
        <is>
          <t>Debit</t>
        </is>
      </c>
      <c r="E88" t="inlineStr">
        <is>
          <t>Tools</t>
        </is>
      </c>
      <c r="F88">
        <f>IF(E88="Income","Revenue",IF(OR(E88="Materials",E88="Labor",E88="Dump Fees"),"COGS",IF(OR(E88="Fuel",E88="Insurance",E88="Tools",E88="Repairs"),"Expense","Non-Deductible")))</f>
        <v/>
      </c>
    </row>
    <row r="89">
      <c r="A89" s="5" t="n">
        <v>45702</v>
      </c>
      <c r="B89" t="inlineStr">
        <is>
          <t>Other Withdrawals - Deposited Item Returned 1000101618</t>
        </is>
      </c>
      <c r="C89" t="n">
        <v>7013.16</v>
      </c>
      <c r="D89" t="inlineStr">
        <is>
          <t>Debit</t>
        </is>
      </c>
      <c r="E89" t="inlineStr">
        <is>
          <t>Tools</t>
        </is>
      </c>
      <c r="F89">
        <f>IF(E89="Income","Revenue",IF(OR(E89="Materials",E89="Labor",E89="Dump Fees"),"COGS",IF(OR(E89="Fuel",E89="Insurance",E89="Tools",E89="Repairs"),"Expense","Non-Deductible")))</f>
        <v/>
      </c>
    </row>
    <row r="90">
      <c r="A90" s="5" t="n">
        <v>45702</v>
      </c>
      <c r="B90" t="inlineStr">
        <is>
          <t>Other Withdrawals - Mobile Banking Transfer To Account 152316875235</t>
        </is>
      </c>
      <c r="C90" t="n">
        <v>550</v>
      </c>
      <c r="D90" t="inlineStr">
        <is>
          <t>Debit</t>
        </is>
      </c>
      <c r="E90" t="inlineStr">
        <is>
          <t>Transfer</t>
        </is>
      </c>
      <c r="F90">
        <f>IF(E90="Income","Revenue",IF(OR(E90="Materials",E90="Labor",E90="Dump Fees"),"COGS",IF(OR(E90="Fuel",E90="Insurance",E90="Tools",E90="Repairs"),"Expense","Non-Deductible")))</f>
        <v/>
      </c>
    </row>
    <row r="91">
      <c r="A91" s="5" t="n">
        <v>45702</v>
      </c>
      <c r="B91" t="inlineStr">
        <is>
          <t>Other Withdrawals - Zelle Instant PMT To Brian Davis</t>
        </is>
      </c>
      <c r="C91" t="n">
        <v>1170</v>
      </c>
      <c r="D91" t="inlineStr">
        <is>
          <t>Debit</t>
        </is>
      </c>
      <c r="E91" t="inlineStr">
        <is>
          <t>Labor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>
        <is>
          <t>Bryan</t>
        </is>
      </c>
    </row>
    <row r="92">
      <c r="A92" s="5" t="n">
        <v>45702</v>
      </c>
      <c r="B92" t="inlineStr">
        <is>
          <t>Other Withdrawals - Zelle Instant PMT To Casey Williamson</t>
        </is>
      </c>
      <c r="C92" t="n">
        <v>800</v>
      </c>
      <c r="D92" t="inlineStr">
        <is>
          <t>Debit</t>
        </is>
      </c>
      <c r="E92" t="inlineStr">
        <is>
          <t>Labor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>
        <is>
          <t>Casey</t>
        </is>
      </c>
    </row>
    <row r="93">
      <c r="A93" s="5" t="n">
        <v>45702</v>
      </c>
      <c r="B93" t="inlineStr">
        <is>
          <t>Other Withdrawals - Zelle Instant PMT To Nadia Session</t>
        </is>
      </c>
      <c r="C93" t="n">
        <v>100</v>
      </c>
      <c r="D93" t="inlineStr">
        <is>
          <t>Debit</t>
        </is>
      </c>
      <c r="E93" t="inlineStr">
        <is>
          <t>Tools</t>
        </is>
      </c>
      <c r="F93">
        <f>IF(E93="Income","Revenue",IF(OR(E93="Materials",E93="Labor",E93="Dump Fees"),"COGS",IF(OR(E93="Fuel",E93="Insurance",E93="Tools",E93="Repairs"),"Expense","Non-Deductible")))</f>
        <v/>
      </c>
    </row>
    <row r="94">
      <c r="A94" s="5" t="n">
        <v>45706</v>
      </c>
      <c r="B94" t="inlineStr">
        <is>
          <t>Card Withdrawals - Debit Purchase verifyvend855-55 PROVIDENCE RI 5402171314</t>
        </is>
      </c>
      <c r="C94" t="n">
        <v>57</v>
      </c>
      <c r="D94" t="inlineStr">
        <is>
          <t>Debit</t>
        </is>
      </c>
      <c r="E94" t="inlineStr">
        <is>
          <t>Tools</t>
        </is>
      </c>
      <c r="F94">
        <f>IF(E94="Income","Revenue",IF(OR(E94="Materials",E94="Labor",E94="Dump Fees"),"COGS",IF(OR(E94="Fuel",E94="Insurance",E94="Tools",E94="Repairs"),"Expense","Non-Deductible")))</f>
        <v/>
      </c>
    </row>
    <row r="95">
      <c r="A95" s="5" t="n">
        <v>45707</v>
      </c>
      <c r="B95" t="inlineStr">
        <is>
          <t>Card Withdrawals - Debit Purchase - VISA On 021825 BELLEVILLE IL 9300620697</t>
        </is>
      </c>
      <c r="C95" t="n">
        <v>31.37</v>
      </c>
      <c r="D95" t="inlineStr">
        <is>
          <t>Debit</t>
        </is>
      </c>
      <c r="E95" t="inlineStr">
        <is>
          <t>Tools</t>
        </is>
      </c>
      <c r="F95">
        <f>IF(E95="Income","Revenue",IF(OR(E95="Materials",E95="Labor",E95="Dump Fees"),"COGS",IF(OR(E95="Fuel",E95="Insurance",E95="Tools",E95="Repairs"),"Expense","Non-Deductible")))</f>
        <v/>
      </c>
    </row>
    <row r="96">
      <c r="A96" s="5" t="n">
        <v>45707</v>
      </c>
      <c r="B96" t="inlineStr">
        <is>
          <t>Card Withdrawals - Debit Purchase MOTOMART FREEBURG IL</t>
        </is>
      </c>
      <c r="C96" t="n">
        <v>81.59999999999999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</row>
    <row r="97">
      <c r="A97" s="5" t="n">
        <v>45707</v>
      </c>
      <c r="B97" t="inlineStr">
        <is>
          <t>Other Withdrawals - Electronic Withdrawal To CATHOLIC CCU</t>
        </is>
      </c>
      <c r="C97" t="n">
        <v>572.5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</row>
    <row r="98">
      <c r="A98" s="5" t="n">
        <v>45708</v>
      </c>
      <c r="B98" t="inlineStr">
        <is>
          <t>Card Withdrawals - Debit Purchase HI-WAY LMB CO NEW ATHENS IL 8102201546</t>
        </is>
      </c>
      <c r="C98" t="n">
        <v>25.95</v>
      </c>
      <c r="D98" t="inlineStr">
        <is>
          <t>Debit</t>
        </is>
      </c>
      <c r="E98" t="inlineStr">
        <is>
          <t>Tools</t>
        </is>
      </c>
      <c r="F98">
        <f>IF(E98="Income","Revenue",IF(OR(E98="Materials",E98="Labor",E98="Dump Fees"),"COGS",IF(OR(E98="Fuel",E98="Insurance",E98="Tools",E98="Repairs"),"Expense","Non-Deductible")))</f>
        <v/>
      </c>
    </row>
    <row r="99">
      <c r="A99" s="5" t="n">
        <v>45708</v>
      </c>
      <c r="B99" t="inlineStr">
        <is>
          <t>Other Withdrawals - Electronic Withdrawal To MERCURY CARD FBT</t>
        </is>
      </c>
      <c r="C99" t="n">
        <v>670.41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</row>
    <row r="100">
      <c r="A100" s="5" t="n">
        <v>45709</v>
      </c>
      <c r="B100" t="inlineStr">
        <is>
          <t>Other Withdrawals - Mobile Banking Transfer To Account 152316874980</t>
        </is>
      </c>
      <c r="C100" t="n">
        <v>750</v>
      </c>
      <c r="D100" t="inlineStr">
        <is>
          <t>Debit</t>
        </is>
      </c>
      <c r="E100" t="inlineStr">
        <is>
          <t>Transfer</t>
        </is>
      </c>
      <c r="F100">
        <f>IF(E100="Income","Revenue",IF(OR(E100="Materials",E100="Labor",E100="Dump Fees"),"COGS",IF(OR(E100="Fuel",E100="Insurance",E100="Tools",E100="Repairs"),"Expense","Non-Deductible")))</f>
        <v/>
      </c>
    </row>
    <row r="101">
      <c r="A101" s="5" t="n">
        <v>45709</v>
      </c>
      <c r="B101" t="inlineStr">
        <is>
          <t>Other Withdrawals - Zelle Instant PMT To BRIAN DAVIS</t>
        </is>
      </c>
      <c r="C101" t="n">
        <v>580</v>
      </c>
      <c r="D101" t="inlineStr">
        <is>
          <t>Debit</t>
        </is>
      </c>
      <c r="E101" t="inlineStr">
        <is>
          <t>Labor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>
        <is>
          <t>Bryan</t>
        </is>
      </c>
    </row>
    <row r="102">
      <c r="A102" s="5" t="n">
        <v>45709</v>
      </c>
      <c r="B102" t="inlineStr">
        <is>
          <t>Other Withdrawals - Zelle Instant PMT To CASEY WILLIAMSON</t>
        </is>
      </c>
      <c r="C102" t="n">
        <v>400</v>
      </c>
      <c r="D102" t="inlineStr">
        <is>
          <t>Debit</t>
        </is>
      </c>
      <c r="E102" t="inlineStr">
        <is>
          <t>Labor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>
        <is>
          <t>Casey</t>
        </is>
      </c>
    </row>
    <row r="103">
      <c r="A103" s="5" t="n">
        <v>45712</v>
      </c>
      <c r="B103" t="inlineStr">
        <is>
          <t>Card Withdrawals - Debit Purchase - VISA On 022025 SWANSEA IL 2004371665</t>
        </is>
      </c>
      <c r="C103" t="n">
        <v>81.54000000000001</v>
      </c>
      <c r="D103" t="inlineStr">
        <is>
          <t>Debit</t>
        </is>
      </c>
      <c r="E103" t="inlineStr">
        <is>
          <t>Tools</t>
        </is>
      </c>
      <c r="F103">
        <f>IF(E103="Income","Revenue",IF(OR(E103="Materials",E103="Labor",E103="Dump Fees"),"COGS",IF(OR(E103="Fuel",E103="Insurance",E103="Tools",E103="Repairs"),"Expense","Non-Deductible")))</f>
        <v/>
      </c>
    </row>
    <row r="104">
      <c r="A104" s="5" t="n">
        <v>45714</v>
      </c>
      <c r="B104" t="inlineStr">
        <is>
          <t>Card Withdrawals - Recurring Debit Purchase On 022525 888-270-2644 IN 6106932422</t>
        </is>
      </c>
      <c r="C104" t="n">
        <v>817.5</v>
      </c>
      <c r="D104" t="inlineStr">
        <is>
          <t>Debit</t>
        </is>
      </c>
      <c r="E104" t="inlineStr">
        <is>
          <t>Tools</t>
        </is>
      </c>
      <c r="F104">
        <f>IF(E104="Income","Revenue",IF(OR(E104="Materials",E104="Labor",E104="Dump Fees"),"COGS",IF(OR(E104="Fuel",E104="Insurance",E104="Tools",E104="Repairs"),"Expense","Non-Deductible")))</f>
        <v/>
      </c>
    </row>
    <row r="105">
      <c r="A105" s="5" t="n">
        <v>45714</v>
      </c>
      <c r="B105" t="inlineStr">
        <is>
          <t>Other Withdrawals - Electronic Withdrawal To DISCOVER</t>
        </is>
      </c>
      <c r="C105" t="n">
        <v>2000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</row>
    <row r="106">
      <c r="A106" s="5" t="n">
        <v>45715</v>
      </c>
      <c r="B106" t="inlineStr">
        <is>
          <t>Card Withdrawals - Debit Purchase MOTOMART FREEBURG IL</t>
        </is>
      </c>
      <c r="C106" t="n">
        <v>83.31999999999999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</row>
    <row r="107">
      <c r="A107" s="5" t="n">
        <v>45716</v>
      </c>
      <c r="B107" t="inlineStr">
        <is>
          <t>Other Withdrawals - Mobile Banking Transfer To Account 152316875235</t>
        </is>
      </c>
      <c r="C107" t="n">
        <v>550</v>
      </c>
      <c r="D107" t="inlineStr">
        <is>
          <t>Debit</t>
        </is>
      </c>
      <c r="E107" t="inlineStr">
        <is>
          <t>Transfer</t>
        </is>
      </c>
      <c r="F107">
        <f>IF(E107="Income","Revenue",IF(OR(E107="Materials",E107="Labor",E107="Dump Fees"),"COGS",IF(OR(E107="Fuel",E107="Insurance",E107="Tools",E107="Repairs"),"Expense","Non-Deductible")))</f>
        <v/>
      </c>
    </row>
    <row r="108">
      <c r="A108" s="5" t="n">
        <v>45716</v>
      </c>
      <c r="B108" t="inlineStr">
        <is>
          <t>Other Withdrawals - Zelle Instant PMT To Brian Davis</t>
        </is>
      </c>
      <c r="C108" t="n">
        <v>1300</v>
      </c>
      <c r="D108" t="inlineStr">
        <is>
          <t>Debit</t>
        </is>
      </c>
      <c r="E108" t="inlineStr">
        <is>
          <t>Labor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>
        <is>
          <t>Bryan</t>
        </is>
      </c>
    </row>
    <row r="109">
      <c r="A109" s="5" t="n">
        <v>45716</v>
      </c>
      <c r="B109" t="inlineStr">
        <is>
          <t>Other Withdrawals - Zelle Instant PMT To Casey Williamson</t>
        </is>
      </c>
      <c r="C109" t="n">
        <v>613</v>
      </c>
      <c r="D109" t="inlineStr">
        <is>
          <t>Debit</t>
        </is>
      </c>
      <c r="E109" t="inlineStr">
        <is>
          <t>Labor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>
        <is>
          <t>Casey</t>
        </is>
      </c>
    </row>
    <row r="110">
      <c r="A110" s="5" t="n">
        <v>45716</v>
      </c>
      <c r="B110" t="inlineStr">
        <is>
          <t>Other Withdrawals - Zelle Instant PMT To Nadia Session</t>
        </is>
      </c>
      <c r="C110" t="n">
        <v>100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</row>
    <row r="111">
      <c r="A111" s="5" t="n">
        <v>45716</v>
      </c>
      <c r="B111" t="inlineStr">
        <is>
          <t>Other Withdrawals - Zelle Instant PMT To Nadia Session</t>
        </is>
      </c>
      <c r="C111" t="n">
        <v>400</v>
      </c>
      <c r="D111" t="inlineStr">
        <is>
          <t>Debit</t>
        </is>
      </c>
      <c r="E111" t="inlineStr">
        <is>
          <t>Tools</t>
        </is>
      </c>
      <c r="F111">
        <f>IF(E111="Income","Revenue",IF(OR(E111="Materials",E111="Labor",E111="Dump Fees"),"COGS",IF(OR(E111="Fuel",E111="Insurance",E111="Tools",E111="Repairs"),"Expense","Non-Deductible")))</f>
        <v/>
      </c>
    </row>
    <row r="112">
      <c r="A112" s="5" t="n">
        <v>45719</v>
      </c>
      <c r="B112" t="inlineStr">
        <is>
          <t>Card Withdrawals - Recurring Debit Purchase On 030125 800-956-6310 IL 0159232300 $</t>
        </is>
      </c>
      <c r="C112" t="n">
        <v>328.77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</row>
    <row r="113">
      <c r="A113" s="5" t="n">
        <v>45719</v>
      </c>
      <c r="B113" t="inlineStr">
        <is>
          <t>Other Withdrawals - Electronic Withdrawal To MERCURY CARD FBT $</t>
        </is>
      </c>
      <c r="C113" t="n">
        <v>610.09</v>
      </c>
      <c r="D113" t="inlineStr">
        <is>
          <t>Debit</t>
        </is>
      </c>
      <c r="E113" t="inlineStr">
        <is>
          <t>Tools</t>
        </is>
      </c>
      <c r="F113">
        <f>IF(E113="Income","Revenue",IF(OR(E113="Materials",E113="Labor",E113="Dump Fees"),"COGS",IF(OR(E113="Fuel",E113="Insurance",E113="Tools",E113="Repairs"),"Expense","Non-Deductible")))</f>
        <v/>
      </c>
    </row>
    <row r="114">
      <c r="A114" s="5" t="n">
        <v>45720</v>
      </c>
      <c r="B114" t="inlineStr">
        <is>
          <t>Other Deposits - Visa Direct VENMO*Session Wi 6803031840 $</t>
        </is>
      </c>
      <c r="C114" t="n">
        <v>3575</v>
      </c>
      <c r="D114" t="inlineStr">
        <is>
          <t>Credit</t>
        </is>
      </c>
      <c r="E114" t="inlineStr">
        <is>
          <t>Income</t>
        </is>
      </c>
      <c r="F114">
        <f>IF(E114="Income","Revenue",IF(OR(E114="Materials",E114="Labor",E114="Dump Fees"),"COGS",IF(OR(E114="Fuel",E114="Insurance",E114="Tools",E114="Repairs"),"Expense","Non-Deductible")))</f>
        <v/>
      </c>
    </row>
    <row r="115">
      <c r="A115" s="5" t="n">
        <v>45720</v>
      </c>
      <c r="B115" t="inlineStr">
        <is>
          <t>Other Withdrawals - Mobile Banking Payment To Credit Card *************3424</t>
        </is>
      </c>
      <c r="C115" t="n">
        <v>650</v>
      </c>
      <c r="D115" t="inlineStr">
        <is>
          <t>Debit</t>
        </is>
      </c>
      <c r="E115" t="inlineStr">
        <is>
          <t>Fuel</t>
        </is>
      </c>
      <c r="F115">
        <f>IF(E115="Income","Revenue",IF(OR(E115="Materials",E115="Labor",E115="Dump Fees"),"COGS",IF(OR(E115="Fuel",E115="Insurance",E115="Tools",E115="Repairs"),"Expense","Non-Deductible")))</f>
        <v/>
      </c>
    </row>
    <row r="116">
      <c r="A116" s="5" t="n">
        <v>45720</v>
      </c>
      <c r="B116" t="inlineStr">
        <is>
          <t>Other Withdrawals - Mobile Banking Payment To Credit Card *************9563</t>
        </is>
      </c>
      <c r="C116" t="n">
        <v>143.24</v>
      </c>
      <c r="D116" t="inlineStr">
        <is>
          <t>Debit</t>
        </is>
      </c>
      <c r="E116" t="inlineStr">
        <is>
          <t>Fuel</t>
        </is>
      </c>
      <c r="F116">
        <f>IF(E116="Income","Revenue",IF(OR(E116="Materials",E116="Labor",E116="Dump Fees"),"COGS",IF(OR(E116="Fuel",E116="Insurance",E116="Tools",E116="Repairs"),"Expense","Non-Deductible")))</f>
        <v/>
      </c>
    </row>
    <row r="117">
      <c r="A117" s="5" t="n">
        <v>45721</v>
      </c>
      <c r="B117" t="inlineStr">
        <is>
          <t>Other Withdrawals - Electronic Withdrawal To CEFCU TEL DEBIT</t>
        </is>
      </c>
      <c r="C117" t="n">
        <v>1042.46</v>
      </c>
      <c r="D117" t="inlineStr">
        <is>
          <t>Debit</t>
        </is>
      </c>
      <c r="E117" t="inlineStr">
        <is>
          <t>Tools</t>
        </is>
      </c>
      <c r="F117">
        <f>IF(E117="Income","Revenue",IF(OR(E117="Materials",E117="Labor",E117="Dump Fees"),"COGS",IF(OR(E117="Fuel",E117="Insurance",E117="Tools",E117="Repairs"),"Expense","Non-Deductible")))</f>
        <v/>
      </c>
    </row>
    <row r="118">
      <c r="A118" s="5" t="n">
        <v>45721</v>
      </c>
      <c r="B118" t="inlineStr">
        <is>
          <t>Other Withdrawals - Electronic Withdrawal To DISCOVER</t>
        </is>
      </c>
      <c r="C118" t="n">
        <v>2000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</row>
    <row r="119">
      <c r="A119" s="5" t="n">
        <v>45721</v>
      </c>
      <c r="B119" t="inlineStr">
        <is>
          <t>Other Withdrawals - Electronic Withdrawal To MERCURY CARD FBT</t>
        </is>
      </c>
      <c r="C119" t="n">
        <v>1029.15</v>
      </c>
      <c r="D119" t="inlineStr">
        <is>
          <t>Debit</t>
        </is>
      </c>
      <c r="E119" t="inlineStr">
        <is>
          <t>Tools</t>
        </is>
      </c>
      <c r="F119">
        <f>IF(E119="Income","Revenue",IF(OR(E119="Materials",E119="Labor",E119="Dump Fees"),"COGS",IF(OR(E119="Fuel",E119="Insurance",E119="Tools",E119="Repairs"),"Expense","Non-Deductible")))</f>
        <v/>
      </c>
    </row>
    <row r="120">
      <c r="A120" s="5" t="n">
        <v>45722</v>
      </c>
      <c r="B120" t="inlineStr">
        <is>
          <t>Card Withdrawals - Debit Purchase - VISA On 030425 800-453-7638 TX 4104470908</t>
        </is>
      </c>
      <c r="C120" t="n">
        <v>132</v>
      </c>
      <c r="D120" t="inlineStr">
        <is>
          <t>Debit</t>
        </is>
      </c>
      <c r="E120" t="inlineStr">
        <is>
          <t>Tools</t>
        </is>
      </c>
      <c r="F120">
        <f>IF(E120="Income","Revenue",IF(OR(E120="Materials",E120="Labor",E120="Dump Fees"),"COGS",IF(OR(E120="Fuel",E120="Insurance",E120="Tools",E120="Repairs"),"Expense","Non-Deductible")))</f>
        <v/>
      </c>
    </row>
    <row r="121">
      <c r="A121" s="5" t="n">
        <v>45722</v>
      </c>
      <c r="B121" t="inlineStr">
        <is>
          <t>Other Withdrawals - Deposited Item Returned 1000102136</t>
        </is>
      </c>
      <c r="C121" t="n">
        <v>4050.09</v>
      </c>
      <c r="D121" t="inlineStr">
        <is>
          <t>Debit</t>
        </is>
      </c>
      <c r="E121" t="inlineStr">
        <is>
          <t>Tools</t>
        </is>
      </c>
      <c r="F121">
        <f>IF(E121="Income","Revenue",IF(OR(E121="Materials",E121="Labor",E121="Dump Fees"),"COGS",IF(OR(E121="Fuel",E121="Insurance",E121="Tools",E121="Repairs"),"Expense","Non-Deductible")))</f>
        <v/>
      </c>
    </row>
    <row r="122">
      <c r="A122" s="5" t="n">
        <v>45723</v>
      </c>
      <c r="B122" t="inlineStr">
        <is>
          <t>Other Withdrawals - Mobile Banking Transfer To Account 152316874980</t>
        </is>
      </c>
      <c r="C122" t="n">
        <v>135</v>
      </c>
      <c r="D122" t="inlineStr">
        <is>
          <t>Debit</t>
        </is>
      </c>
      <c r="E122" t="inlineStr">
        <is>
          <t>Transfer</t>
        </is>
      </c>
      <c r="F122">
        <f>IF(E122="Income","Revenue",IF(OR(E122="Materials",E122="Labor",E122="Dump Fees"),"COGS",IF(OR(E122="Fuel",E122="Insurance",E122="Tools",E122="Repairs"),"Expense","Non-Deductible")))</f>
        <v/>
      </c>
    </row>
    <row r="123">
      <c r="A123" s="5" t="n">
        <v>45723</v>
      </c>
      <c r="B123" t="inlineStr">
        <is>
          <t>Other Withdrawals - Zelle Instant PMT To Casey Williamson</t>
        </is>
      </c>
      <c r="C123" t="n">
        <v>600</v>
      </c>
      <c r="D123" t="inlineStr">
        <is>
          <t>Debit</t>
        </is>
      </c>
      <c r="E123" t="inlineStr">
        <is>
          <t>Labor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>
        <is>
          <t>Casey</t>
        </is>
      </c>
    </row>
    <row r="124">
      <c r="A124" s="5" t="n">
        <v>45726</v>
      </c>
      <c r="B124" t="inlineStr">
        <is>
          <t>Card Withdrawals - Debit Purchase MOTOMART #3151 1 SHILOH IL</t>
        </is>
      </c>
      <c r="C124" t="n">
        <v>82.23</v>
      </c>
      <c r="D124" t="inlineStr">
        <is>
          <t>Debit</t>
        </is>
      </c>
      <c r="E124" t="inlineStr">
        <is>
          <t>Tools</t>
        </is>
      </c>
      <c r="F124">
        <f>IF(E124="Income","Revenue",IF(OR(E124="Materials",E124="Labor",E124="Dump Fees"),"COGS",IF(OR(E124="Fuel",E124="Insurance",E124="Tools",E124="Repairs"),"Expense","Non-Deductible")))</f>
        <v/>
      </c>
    </row>
    <row r="125">
      <c r="A125" s="5" t="n">
        <v>45729</v>
      </c>
      <c r="B125" t="inlineStr">
        <is>
          <t>Card Withdrawals - Debit Purchase - VISA On 031225 888-5741301 SD 1000152197</t>
        </is>
      </c>
      <c r="C125" t="n">
        <v>330</v>
      </c>
      <c r="D125" t="inlineStr">
        <is>
          <t>Debit</t>
        </is>
      </c>
      <c r="E125" t="inlineStr">
        <is>
          <t>Tools</t>
        </is>
      </c>
      <c r="F125">
        <f>IF(E125="Income","Revenue",IF(OR(E125="Materials",E125="Labor",E125="Dump Fees"),"COGS",IF(OR(E125="Fuel",E125="Insurance",E125="Tools",E125="Repairs"),"Expense","Non-Deductible")))</f>
        <v/>
      </c>
    </row>
    <row r="126">
      <c r="A126" s="5" t="n">
        <v>45730</v>
      </c>
      <c r="B126" t="inlineStr">
        <is>
          <t>Other Withdrawals - Analysis Service Charge 1400000000</t>
        </is>
      </c>
      <c r="C126" t="n">
        <v>16</v>
      </c>
      <c r="D126" t="inlineStr">
        <is>
          <t>Debit</t>
        </is>
      </c>
      <c r="E126" t="inlineStr">
        <is>
          <t>Repairs</t>
        </is>
      </c>
      <c r="F126">
        <f>IF(E126="Income","Revenue",IF(OR(E126="Materials",E126="Labor",E126="Dump Fees"),"COGS",IF(OR(E126="Fuel",E126="Insurance",E126="Tools",E126="Repairs"),"Expense","Non-Deductible")))</f>
        <v/>
      </c>
    </row>
    <row r="127">
      <c r="A127" s="5" t="n">
        <v>45730</v>
      </c>
      <c r="B127" t="inlineStr">
        <is>
          <t>Other Withdrawals - Zelle Instant PMT To Brian Davis</t>
        </is>
      </c>
      <c r="C127" t="n">
        <v>893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>
        <is>
          <t>Bryan</t>
        </is>
      </c>
    </row>
    <row r="128">
      <c r="A128" s="5" t="n">
        <v>45730</v>
      </c>
      <c r="B128" t="inlineStr">
        <is>
          <t>Other Withdrawals - Zelle Instant PMT To Casey Williamson</t>
        </is>
      </c>
      <c r="C128" t="n">
        <v>800</v>
      </c>
      <c r="D128" t="inlineStr">
        <is>
          <t>Debit</t>
        </is>
      </c>
      <c r="E128" t="inlineStr">
        <is>
          <t>Labor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>
        <is>
          <t>Casey</t>
        </is>
      </c>
    </row>
    <row r="129">
      <c r="A129" s="5" t="n">
        <v>45730</v>
      </c>
      <c r="B129" t="inlineStr">
        <is>
          <t>Other Withdrawals - Zelle Instant PMT To Nadia Session</t>
        </is>
      </c>
      <c r="C129" t="n">
        <v>100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</row>
    <row r="130">
      <c r="A130" s="5" t="n">
        <v>45733</v>
      </c>
      <c r="B130" t="inlineStr">
        <is>
          <t>Card Withdrawals - Debit Purchase - VISA On 031425 4029357733 CA 5510276275</t>
        </is>
      </c>
      <c r="C130" t="n">
        <v>509</v>
      </c>
      <c r="D130" t="inlineStr">
        <is>
          <t>Debit</t>
        </is>
      </c>
      <c r="E130" t="inlineStr">
        <is>
          <t>Tools</t>
        </is>
      </c>
      <c r="F130">
        <f>IF(E130="Income","Revenue",IF(OR(E130="Materials",E130="Labor",E130="Dump Fees"),"COGS",IF(OR(E130="Fuel",E130="Insurance",E130="Tools",E130="Repairs"),"Expense","Non-Deductible")))</f>
        <v/>
      </c>
    </row>
    <row r="131">
      <c r="A131" s="5" t="n">
        <v>45733</v>
      </c>
      <c r="B131" t="inlineStr">
        <is>
          <t>Card Withdrawals - Debit Purchase - VISA On 031425 Visa Direct NY 3000232828</t>
        </is>
      </c>
      <c r="C131" t="n">
        <v>200</v>
      </c>
      <c r="D131" t="inlineStr">
        <is>
          <t>Debit</t>
        </is>
      </c>
      <c r="E131" t="inlineStr">
        <is>
          <t>Tools</t>
        </is>
      </c>
      <c r="F131">
        <f>IF(E131="Income","Revenue",IF(OR(E131="Materials",E131="Labor",E131="Dump Fees"),"COGS",IF(OR(E131="Fuel",E131="Insurance",E131="Tools",E131="Repairs"),"Expense","Non-Deductible")))</f>
        <v/>
      </c>
    </row>
    <row r="132">
      <c r="A132" s="5" t="n">
        <v>45733</v>
      </c>
      <c r="B132" t="inlineStr">
        <is>
          <t>Other Withdrawals - Electronic Withdrawal To CATHOLIC CCU</t>
        </is>
      </c>
      <c r="C132" t="n">
        <v>572.5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</row>
    <row r="133">
      <c r="A133" s="5" t="n">
        <v>45733</v>
      </c>
      <c r="B133" t="inlineStr">
        <is>
          <t>Other Withdrawals - Electronic Withdrawal To DISCOVER</t>
        </is>
      </c>
      <c r="C133" t="n">
        <v>2000</v>
      </c>
      <c r="D133" t="inlineStr">
        <is>
          <t>Debit</t>
        </is>
      </c>
      <c r="E133" t="inlineStr">
        <is>
          <t>Tools</t>
        </is>
      </c>
      <c r="F133">
        <f>IF(E133="Income","Revenue",IF(OR(E133="Materials",E133="Labor",E133="Dump Fees"),"COGS",IF(OR(E133="Fuel",E133="Insurance",E133="Tools",E133="Repairs"),"Expense","Non-Deductible")))</f>
        <v/>
      </c>
    </row>
    <row r="134">
      <c r="A134" s="5" t="n">
        <v>45733</v>
      </c>
      <c r="B134" t="inlineStr">
        <is>
          <t>Other Withdrawals - Electronic Withdrawal To MERCURY CARD FBT</t>
        </is>
      </c>
      <c r="C134" t="n">
        <v>1379.42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</row>
    <row r="135">
      <c r="A135" s="5" t="n">
        <v>45734</v>
      </c>
      <c r="B135" t="inlineStr">
        <is>
          <t>Other Withdrawals - Electronic Withdrawal To MIDLAND MTG</t>
        </is>
      </c>
      <c r="C135" t="n">
        <v>989.5599999999999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</row>
    <row r="136">
      <c r="A136" s="5" t="n">
        <v>45735</v>
      </c>
      <c r="B136" t="inlineStr">
        <is>
          <t>Other Withdrawals - Mobile Banking Payment To Credit Card *************3424</t>
        </is>
      </c>
      <c r="C136" t="n">
        <v>1140.51</v>
      </c>
      <c r="D136" t="inlineStr">
        <is>
          <t>Debit</t>
        </is>
      </c>
      <c r="E136" t="inlineStr">
        <is>
          <t>Fuel</t>
        </is>
      </c>
      <c r="F136">
        <f>IF(E136="Income","Revenue",IF(OR(E136="Materials",E136="Labor",E136="Dump Fees"),"COGS",IF(OR(E136="Fuel",E136="Insurance",E136="Tools",E136="Repairs"),"Expense","Non-Deductible")))</f>
        <v/>
      </c>
    </row>
    <row r="137">
      <c r="A137" s="5" t="n">
        <v>45736</v>
      </c>
      <c r="B137" t="inlineStr">
        <is>
          <t>Card Withdrawals - Debit Purchase - VISA On 031925 Freeburg IL 8103396533</t>
        </is>
      </c>
      <c r="C137" t="n">
        <v>4.52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</row>
    <row r="138">
      <c r="A138" s="5" t="n">
        <v>45736</v>
      </c>
      <c r="B138" t="inlineStr">
        <is>
          <t>Other Withdrawals - Electronic Withdrawal To DISCOVER</t>
        </is>
      </c>
      <c r="C138" t="n">
        <v>2000</v>
      </c>
      <c r="D138" t="inlineStr">
        <is>
          <t>Debit</t>
        </is>
      </c>
      <c r="E138" t="inlineStr">
        <is>
          <t>Tools</t>
        </is>
      </c>
      <c r="F138">
        <f>IF(E138="Income","Revenue",IF(OR(E138="Materials",E138="Labor",E138="Dump Fees"),"COGS",IF(OR(E138="Fuel",E138="Insurance",E138="Tools",E138="Repairs"),"Expense","Non-Deductible")))</f>
        <v/>
      </c>
    </row>
    <row r="139">
      <c r="A139" s="5" t="n">
        <v>45737</v>
      </c>
      <c r="B139" t="inlineStr">
        <is>
          <t>Other Withdrawals - Zelle Instant PMT To Casey Williamson</t>
        </is>
      </c>
      <c r="C139" t="n">
        <v>675</v>
      </c>
      <c r="D139" t="inlineStr">
        <is>
          <t>Debit</t>
        </is>
      </c>
      <c r="E139" t="inlineStr">
        <is>
          <t>Labor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>
        <is>
          <t>Casey</t>
        </is>
      </c>
    </row>
    <row r="140">
      <c r="A140" s="5" t="n">
        <v>45741</v>
      </c>
      <c r="B140" t="inlineStr">
        <is>
          <t>Other Withdrawals - Customer Withdrawal 8314494754</t>
        </is>
      </c>
      <c r="C140" t="n">
        <v>600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</row>
    <row r="141">
      <c r="A141" s="5" t="n">
        <v>45742</v>
      </c>
      <c r="B141" t="inlineStr">
        <is>
          <t>Card Withdrawals - Recurring Debit Purchase On 032525 888-270-2644 IN 5109006614</t>
        </is>
      </c>
      <c r="C141" t="n">
        <v>817.5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</row>
    <row r="142">
      <c r="A142" s="5" t="n">
        <v>45744</v>
      </c>
      <c r="B142" t="inlineStr">
        <is>
          <t>Other Withdrawals - Mobile Banking Transfer To Account 152316875235</t>
        </is>
      </c>
      <c r="C142" t="n">
        <v>300</v>
      </c>
      <c r="D142" t="inlineStr">
        <is>
          <t>Debit</t>
        </is>
      </c>
      <c r="E142" t="inlineStr">
        <is>
          <t>Transfer</t>
        </is>
      </c>
      <c r="F142">
        <f>IF(E142="Income","Revenue",IF(OR(E142="Materials",E142="Labor",E142="Dump Fees"),"COGS",IF(OR(E142="Fuel",E142="Insurance",E142="Tools",E142="Repairs"),"Expense","Non-Deductible")))</f>
        <v/>
      </c>
    </row>
    <row r="143">
      <c r="A143" s="5" t="n">
        <v>45744</v>
      </c>
      <c r="B143" t="inlineStr">
        <is>
          <t>Other Withdrawals - Zelle Instant PMT To Brian Davis</t>
        </is>
      </c>
      <c r="C143" t="n">
        <v>100</v>
      </c>
      <c r="D143" t="inlineStr">
        <is>
          <t>Debit</t>
        </is>
      </c>
      <c r="E143" t="inlineStr">
        <is>
          <t>Labor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>
        <is>
          <t>Bryan</t>
        </is>
      </c>
    </row>
    <row r="144">
      <c r="A144" s="5" t="n">
        <v>45744</v>
      </c>
      <c r="B144" t="inlineStr">
        <is>
          <t>Other Withdrawals - Zelle Instant PMT To Brian Davis</t>
        </is>
      </c>
      <c r="C144" t="n">
        <v>440</v>
      </c>
      <c r="D144" t="inlineStr">
        <is>
          <t>Debit</t>
        </is>
      </c>
      <c r="E144" t="inlineStr">
        <is>
          <t>Labor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>
        <is>
          <t>Bryan</t>
        </is>
      </c>
    </row>
    <row r="145">
      <c r="A145" s="5" t="n">
        <v>45744</v>
      </c>
      <c r="B145" t="inlineStr">
        <is>
          <t>Other Withdrawals - Zelle Instant PMT To Casey Williamson</t>
        </is>
      </c>
      <c r="C145" t="n">
        <v>500</v>
      </c>
      <c r="D145" t="inlineStr">
        <is>
          <t>Debit</t>
        </is>
      </c>
      <c r="E145" t="inlineStr">
        <is>
          <t>Labor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>
        <is>
          <t>Casey</t>
        </is>
      </c>
    </row>
    <row r="146">
      <c r="A146" s="5" t="n">
        <v>45747</v>
      </c>
      <c r="B146" t="inlineStr">
        <is>
          <t>Card Withdrawals - ATM Withdrawal 313 E WASHINGTON MILLSTADT IL</t>
        </is>
      </c>
      <c r="C146" t="n">
        <v>203.25</v>
      </c>
      <c r="D146" t="inlineStr">
        <is>
          <t>Debit</t>
        </is>
      </c>
      <c r="E146" t="inlineStr">
        <is>
          <t>Tools</t>
        </is>
      </c>
      <c r="F146">
        <f>IF(E146="Income","Revenue",IF(OR(E146="Materials",E146="Labor",E146="Dump Fees"),"COGS",IF(OR(E146="Fuel",E146="Insurance",E146="Tools",E146="Repairs"),"Expense","Non-Deductible")))</f>
        <v/>
      </c>
    </row>
    <row r="147">
      <c r="A147" s="5" t="n">
        <v>45747</v>
      </c>
      <c r="B147" t="inlineStr">
        <is>
          <t>Card Withdrawals - Debit Purchase - VISA On 032825 4029357733 CA 9512698027</t>
        </is>
      </c>
      <c r="C147" t="n">
        <v>447.92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</row>
    <row r="148">
      <c r="A148" s="5" t="n">
        <v>45747</v>
      </c>
      <c r="B148" t="inlineStr">
        <is>
          <t>Card Withdrawals - Debit Purchase - VISA On 032825 618-2340105 IL 7900011900</t>
        </is>
      </c>
      <c r="C148" t="n">
        <v>469.61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</row>
    <row r="149">
      <c r="A149" s="5" t="n">
        <v>45747</v>
      </c>
      <c r="B149" t="inlineStr">
        <is>
          <t>Card Withdrawals - Debit Purchase - VISA On 032825 FREEBURG IL 9030040312</t>
        </is>
      </c>
      <c r="C149" t="n">
        <v>45.5</v>
      </c>
      <c r="D149" t="inlineStr">
        <is>
          <t>Debit</t>
        </is>
      </c>
      <c r="E149" t="inlineStr">
        <is>
          <t>Tools</t>
        </is>
      </c>
      <c r="F149">
        <f>IF(E149="Income","Revenue",IF(OR(E149="Materials",E149="Labor",E149="Dump Fees"),"COGS",IF(OR(E149="Fuel",E149="Insurance",E149="Tools",E149="Repairs"),"Expense","Non-Deductible")))</f>
        <v/>
      </c>
    </row>
    <row r="150">
      <c r="A150" s="5" t="n">
        <v>45747</v>
      </c>
      <c r="B150" t="inlineStr">
        <is>
          <t>Card Withdrawals - Debit Purchase - VISA On 032825 NEW ATHENS IL 7900015982</t>
        </is>
      </c>
      <c r="C150" t="n">
        <v>13.47</v>
      </c>
      <c r="D150" t="inlineStr">
        <is>
          <t>Debit</t>
        </is>
      </c>
      <c r="E150" t="inlineStr">
        <is>
          <t>Tools</t>
        </is>
      </c>
      <c r="F150">
        <f>IF(E150="Income","Revenue",IF(OR(E150="Materials",E150="Labor",E150="Dump Fees"),"COGS",IF(OR(E150="Fuel",E150="Insurance",E150="Tools",E150="Repairs"),"Expense","Non-Deductible")))</f>
        <v/>
      </c>
    </row>
    <row r="151">
      <c r="A151" s="5" t="n">
        <v>45747</v>
      </c>
      <c r="B151" t="inlineStr">
        <is>
          <t>Card Withdrawals - Fee ATM Withdrawal At Other Network 3100000342 $</t>
        </is>
      </c>
      <c r="C151" t="n">
        <v>2.5</v>
      </c>
      <c r="D151" t="inlineStr">
        <is>
          <t>Debit</t>
        </is>
      </c>
      <c r="E151" t="inlineStr">
        <is>
          <t>Tools</t>
        </is>
      </c>
      <c r="F151">
        <f>IF(E151="Income","Revenue",IF(OR(E151="Materials",E151="Labor",E151="Dump Fees"),"COGS",IF(OR(E151="Fuel",E151="Insurance",E151="Tools",E151="Repairs"),"Expense","Non-Deductible")))</f>
        <v/>
      </c>
    </row>
    <row r="152">
      <c r="A152" s="5" t="n">
        <v>45747</v>
      </c>
      <c r="B152" t="inlineStr">
        <is>
          <t>Card Withdrawals - Recurring Debit Purchase On 032925 800-956-6310 IL 8177083101</t>
        </is>
      </c>
      <c r="C152" t="n">
        <v>328.77</v>
      </c>
      <c r="D152" t="inlineStr">
        <is>
          <t>Debit</t>
        </is>
      </c>
      <c r="E152" t="inlineStr">
        <is>
          <t>Tools</t>
        </is>
      </c>
      <c r="F152">
        <f>IF(E152="Income","Revenue",IF(OR(E152="Materials",E152="Labor",E152="Dump Fees"),"COGS",IF(OR(E152="Fuel",E152="Insurance",E152="Tools",E152="Repairs"),"Expense","Non-Deductible")))</f>
        <v/>
      </c>
    </row>
    <row r="153">
      <c r="A153" s="5" t="n">
        <v>45748</v>
      </c>
      <c r="B153" t="inlineStr">
        <is>
          <t>Other Deposits - Mobile Check Deposit 8314527129 $</t>
        </is>
      </c>
      <c r="C153" t="n">
        <v>3860</v>
      </c>
      <c r="D153" t="inlineStr">
        <is>
          <t>Credit</t>
        </is>
      </c>
      <c r="E153" t="inlineStr">
        <is>
          <t>Income</t>
        </is>
      </c>
      <c r="F153">
        <f>IF(E153="Income","Revenue",IF(OR(E153="Materials",E153="Labor",E153="Dump Fees"),"COGS",IF(OR(E153="Fuel",E153="Insurance",E153="Tools",E153="Repairs"),"Expense","Non-Deductible")))</f>
        <v/>
      </c>
    </row>
    <row r="154">
      <c r="A154" s="5" t="n">
        <v>45749</v>
      </c>
      <c r="B154" t="inlineStr">
        <is>
          <t>Card Withdrawals - Debit Purchase - VISA On 033125 BELLEVILLE IL 1104712008 $</t>
        </is>
      </c>
      <c r="C154" t="n">
        <v>22.97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</row>
    <row r="155">
      <c r="A155" s="5" t="n">
        <v>45750</v>
      </c>
      <c r="B155" t="inlineStr">
        <is>
          <t>Other Withdrawals - Electronic Withdrawal To MERCURY CARD FBT $</t>
        </is>
      </c>
      <c r="C155" t="n">
        <v>600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</row>
    <row r="156">
      <c r="A156" s="5" t="n">
        <v>45751</v>
      </c>
      <c r="B156" t="inlineStr">
        <is>
          <t>Card Withdrawals - ATM Withdrawal 10 S BELT W BELLEVILLE IL</t>
        </is>
      </c>
      <c r="C156" t="n">
        <v>103.95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</row>
    <row r="157">
      <c r="A157" s="5" t="n">
        <v>45751</v>
      </c>
      <c r="B157" t="inlineStr">
        <is>
          <t>Card Withdrawals - Fee ATM Withdrawal At Other Network 0400000877 $</t>
        </is>
      </c>
      <c r="C157" t="n">
        <v>2.5</v>
      </c>
      <c r="D157" t="inlineStr">
        <is>
          <t>Debit</t>
        </is>
      </c>
      <c r="E157" t="inlineStr">
        <is>
          <t>Tools</t>
        </is>
      </c>
      <c r="F157">
        <f>IF(E157="Income","Revenue",IF(OR(E157="Materials",E157="Labor",E157="Dump Fees"),"COGS",IF(OR(E157="Fuel",E157="Insurance",E157="Tools",E157="Repairs"),"Expense","Non-Deductible")))</f>
        <v/>
      </c>
    </row>
    <row r="158">
      <c r="A158" s="5" t="n">
        <v>45751</v>
      </c>
      <c r="B158" t="inlineStr">
        <is>
          <t>Other Deposits - Mobile Check Deposit 9213972504</t>
        </is>
      </c>
      <c r="C158" t="n">
        <v>500</v>
      </c>
      <c r="D158" t="inlineStr">
        <is>
          <t>Credit</t>
        </is>
      </c>
      <c r="E158" t="inlineStr">
        <is>
          <t>Income</t>
        </is>
      </c>
      <c r="F158">
        <f>IF(E158="Income","Revenue",IF(OR(E158="Materials",E158="Labor",E158="Dump Fees"),"COGS",IF(OR(E158="Fuel",E158="Insurance",E158="Tools",E158="Repairs"),"Expense","Non-Deductible")))</f>
        <v/>
      </c>
    </row>
    <row r="159">
      <c r="A159" s="5" t="n">
        <v>45751</v>
      </c>
      <c r="B159" t="inlineStr">
        <is>
          <t>Other Withdrawals - Electronic Withdrawal To CEFCU TEL DEBIT</t>
        </is>
      </c>
      <c r="C159" t="n">
        <v>1042.46</v>
      </c>
      <c r="D159" t="inlineStr">
        <is>
          <t>Debit</t>
        </is>
      </c>
      <c r="E159" t="inlineStr">
        <is>
          <t>Tools</t>
        </is>
      </c>
      <c r="F159">
        <f>IF(E159="Income","Revenue",IF(OR(E159="Materials",E159="Labor",E159="Dump Fees"),"COGS",IF(OR(E159="Fuel",E159="Insurance",E159="Tools",E159="Repairs"),"Expense","Non-Deductible")))</f>
        <v/>
      </c>
    </row>
    <row r="160">
      <c r="A160" s="5" t="n">
        <v>45751</v>
      </c>
      <c r="B160" t="inlineStr">
        <is>
          <t>Other Withdrawals - Mobile Banking Transfer To Account 152316875235</t>
        </is>
      </c>
      <c r="C160" t="n">
        <v>1500</v>
      </c>
      <c r="D160" t="inlineStr">
        <is>
          <t>Debit</t>
        </is>
      </c>
      <c r="E160" t="inlineStr">
        <is>
          <t>Transfer</t>
        </is>
      </c>
      <c r="F160">
        <f>IF(E160="Income","Revenue",IF(OR(E160="Materials",E160="Labor",E160="Dump Fees"),"COGS",IF(OR(E160="Fuel",E160="Insurance",E160="Tools",E160="Repairs"),"Expense","Non-Deductible")))</f>
        <v/>
      </c>
    </row>
    <row r="161">
      <c r="A161" s="5" t="n">
        <v>45751</v>
      </c>
      <c r="B161" t="inlineStr">
        <is>
          <t>Other Withdrawals - Zelle Instant PMT To Casey Williamson</t>
        </is>
      </c>
      <c r="C161" t="n">
        <v>500</v>
      </c>
      <c r="D161" t="inlineStr">
        <is>
          <t>Debit</t>
        </is>
      </c>
      <c r="E161" t="inlineStr">
        <is>
          <t>Labor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>
        <is>
          <t>Casey</t>
        </is>
      </c>
    </row>
    <row r="162">
      <c r="A162" s="5" t="n">
        <v>45751</v>
      </c>
      <c r="B162" t="inlineStr">
        <is>
          <t>Other Withdrawals - Zelle Instant PMT To Nadia Session</t>
        </is>
      </c>
      <c r="C162" t="n">
        <v>100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</row>
    <row r="163">
      <c r="A163" s="5" t="n">
        <v>45754</v>
      </c>
      <c r="B163" t="inlineStr">
        <is>
          <t>Card Withdrawals - Debit Purchase - VISA On 040425 4029357733 CA 6513928598</t>
        </is>
      </c>
      <c r="C163" t="n">
        <v>82.48999999999999</v>
      </c>
      <c r="D163" t="inlineStr">
        <is>
          <t>Debit</t>
        </is>
      </c>
      <c r="E163" t="inlineStr">
        <is>
          <t>Tools</t>
        </is>
      </c>
      <c r="F163">
        <f>IF(E163="Income","Revenue",IF(OR(E163="Materials",E163="Labor",E163="Dump Fees"),"COGS",IF(OR(E163="Fuel",E163="Insurance",E163="Tools",E163="Repairs"),"Expense","Non-Deductible")))</f>
        <v/>
      </c>
    </row>
    <row r="164">
      <c r="A164" s="5" t="n">
        <v>45754</v>
      </c>
      <c r="B164" t="inlineStr">
        <is>
          <t>Card Withdrawals - Debit Purchase MOTOMART COLLINSVILLEIL</t>
        </is>
      </c>
      <c r="C164" t="n">
        <v>98.65000000000001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</row>
    <row r="165">
      <c r="A165" s="5" t="n">
        <v>45754</v>
      </c>
      <c r="B165" t="inlineStr">
        <is>
          <t>Other Withdrawals - Mobile Banking Transfer To Account 152316874980</t>
        </is>
      </c>
      <c r="C165" t="n">
        <v>114</v>
      </c>
      <c r="D165" t="inlineStr">
        <is>
          <t>Debit</t>
        </is>
      </c>
      <c r="E165" t="inlineStr">
        <is>
          <t>Transfer</t>
        </is>
      </c>
      <c r="F165">
        <f>IF(E165="Income","Revenue",IF(OR(E165="Materials",E165="Labor",E165="Dump Fees"),"COGS",IF(OR(E165="Fuel",E165="Insurance",E165="Tools",E165="Repairs"),"Expense","Non-Deductible")))</f>
        <v/>
      </c>
    </row>
    <row r="166">
      <c r="A166" s="5" t="n">
        <v>45755</v>
      </c>
      <c r="B166" t="inlineStr">
        <is>
          <t>Other Deposits - Mobile Banking Transfer From Account 152316874980</t>
        </is>
      </c>
      <c r="C166" t="n">
        <v>4300</v>
      </c>
      <c r="D166" t="inlineStr">
        <is>
          <t>Credit</t>
        </is>
      </c>
      <c r="E166" t="inlineStr">
        <is>
          <t>Transfer</t>
        </is>
      </c>
      <c r="F166">
        <f>IF(E166="Income","Revenue",IF(OR(E166="Materials",E166="Labor",E166="Dump Fees"),"COGS",IF(OR(E166="Fuel",E166="Insurance",E166="Tools",E166="Repairs"),"Expense","Non-Deductible")))</f>
        <v/>
      </c>
    </row>
    <row r="167">
      <c r="A167" s="5" t="n">
        <v>45755</v>
      </c>
      <c r="B167" t="inlineStr">
        <is>
          <t>Other Withdrawals - Mobile Banking Payment To Credit Card *************3424</t>
        </is>
      </c>
      <c r="C167" t="n">
        <v>1013.78</v>
      </c>
      <c r="D167" t="inlineStr">
        <is>
          <t>Debit</t>
        </is>
      </c>
      <c r="E167" t="inlineStr">
        <is>
          <t>Fuel</t>
        </is>
      </c>
      <c r="F167">
        <f>IF(E167="Income","Revenue",IF(OR(E167="Materials",E167="Labor",E167="Dump Fees"),"COGS",IF(OR(E167="Fuel",E167="Insurance",E167="Tools",E167="Repairs"),"Expense","Non-Deductible")))</f>
        <v/>
      </c>
    </row>
    <row r="168">
      <c r="A168" s="5" t="n">
        <v>45756</v>
      </c>
      <c r="B168" t="inlineStr">
        <is>
          <t>Card Withdrawals - Debit Purchase WAL-MART #0201 BELLEVILLE IL</t>
        </is>
      </c>
      <c r="C168" t="n">
        <v>96.01000000000001</v>
      </c>
      <c r="D168" t="inlineStr">
        <is>
          <t>Debit</t>
        </is>
      </c>
      <c r="E168" t="inlineStr">
        <is>
          <t>Tools</t>
        </is>
      </c>
      <c r="F168">
        <f>IF(E168="Income","Revenue",IF(OR(E168="Materials",E168="Labor",E168="Dump Fees"),"COGS",IF(OR(E168="Fuel",E168="Insurance",E168="Tools",E168="Repairs"),"Expense","Non-Deductible")))</f>
        <v/>
      </c>
    </row>
    <row r="169">
      <c r="A169" s="5" t="n">
        <v>45756</v>
      </c>
      <c r="B169" t="inlineStr">
        <is>
          <t>Other Withdrawals - Electronic Withdrawal To DISCOVER</t>
        </is>
      </c>
      <c r="C169" t="n">
        <v>2500</v>
      </c>
      <c r="D169" t="inlineStr">
        <is>
          <t>Debit</t>
        </is>
      </c>
      <c r="E169" t="inlineStr">
        <is>
          <t>Tools</t>
        </is>
      </c>
      <c r="F169">
        <f>IF(E169="Income","Revenue",IF(OR(E169="Materials",E169="Labor",E169="Dump Fees"),"COGS",IF(OR(E169="Fuel",E169="Insurance",E169="Tools",E169="Repairs"),"Expense","Non-Deductible")))</f>
        <v/>
      </c>
    </row>
    <row r="170">
      <c r="A170" s="5" t="n">
        <v>45756</v>
      </c>
      <c r="B170" t="inlineStr">
        <is>
          <t>Other Withdrawals - Mobile Banking Transfer To Account 152316875235</t>
        </is>
      </c>
      <c r="C170" t="n">
        <v>500</v>
      </c>
      <c r="D170" t="inlineStr">
        <is>
          <t>Debit</t>
        </is>
      </c>
      <c r="E170" t="inlineStr">
        <is>
          <t>Transfer</t>
        </is>
      </c>
      <c r="F170">
        <f>IF(E170="Income","Revenue",IF(OR(E170="Materials",E170="Labor",E170="Dump Fees"),"COGS",IF(OR(E170="Fuel",E170="Insurance",E170="Tools",E170="Repairs"),"Expense","Non-Deductible")))</f>
        <v/>
      </c>
    </row>
    <row r="171">
      <c r="A171" s="5" t="n">
        <v>45756</v>
      </c>
      <c r="B171" t="inlineStr">
        <is>
          <t>Other Withdrawals - Zelle Instant PMT To Nadia Session</t>
        </is>
      </c>
      <c r="C171" t="n">
        <v>243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</row>
    <row r="172">
      <c r="A172" s="5" t="n">
        <v>45757</v>
      </c>
      <c r="B172" t="inlineStr">
        <is>
          <t>Card Withdrawals - ATM Withdrawal 800 N STATE ST FREEBURG IL</t>
        </is>
      </c>
      <c r="C172" t="n">
        <v>303.25</v>
      </c>
      <c r="D172" t="inlineStr">
        <is>
          <t>Debit</t>
        </is>
      </c>
      <c r="E172" t="inlineStr">
        <is>
          <t>Tools</t>
        </is>
      </c>
      <c r="F172">
        <f>IF(E172="Income","Revenue",IF(OR(E172="Materials",E172="Labor",E172="Dump Fees"),"COGS",IF(OR(E172="Fuel",E172="Insurance",E172="Tools",E172="Repairs"),"Expense","Non-Deductible")))</f>
        <v/>
      </c>
    </row>
    <row r="173">
      <c r="A173" s="5" t="n">
        <v>45757</v>
      </c>
      <c r="B173" t="inlineStr">
        <is>
          <t>Card Withdrawals - Fee ATM Withdrawal At Other Network 1000000482</t>
        </is>
      </c>
      <c r="C173" t="n">
        <v>2.5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</row>
    <row r="174">
      <c r="A174" s="5" t="n">
        <v>45758</v>
      </c>
      <c r="B174" t="inlineStr">
        <is>
          <t>Card Withdrawals - Debit Purchase - VISA On 041025 SAINTPAUL MN 1302148475</t>
        </is>
      </c>
      <c r="C174" t="n">
        <v>1.75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</row>
    <row r="175">
      <c r="A175" s="5" t="n">
        <v>45758</v>
      </c>
      <c r="B175" t="inlineStr">
        <is>
          <t>Other Withdrawals - Mobile Banking Transfer To Account 152316875235</t>
        </is>
      </c>
      <c r="C175" t="n">
        <v>1200</v>
      </c>
      <c r="D175" t="inlineStr">
        <is>
          <t>Debit</t>
        </is>
      </c>
      <c r="E175" t="inlineStr">
        <is>
          <t>Transfer</t>
        </is>
      </c>
      <c r="F175">
        <f>IF(E175="Income","Revenue",IF(OR(E175="Materials",E175="Labor",E175="Dump Fees"),"COGS",IF(OR(E175="Fuel",E175="Insurance",E175="Tools",E175="Repairs"),"Expense","Non-Deductible")))</f>
        <v/>
      </c>
    </row>
    <row r="176">
      <c r="A176" s="5" t="n">
        <v>45758</v>
      </c>
      <c r="B176" t="inlineStr">
        <is>
          <t>Other Withdrawals - Zelle Instant PMT To Brian Davis</t>
        </is>
      </c>
      <c r="C176" t="n">
        <v>630</v>
      </c>
      <c r="D176" t="inlineStr">
        <is>
          <t>Debit</t>
        </is>
      </c>
      <c r="E176" t="inlineStr">
        <is>
          <t>Labor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>
        <is>
          <t>Bryan</t>
        </is>
      </c>
    </row>
    <row r="177">
      <c r="A177" s="5" t="n">
        <v>45758</v>
      </c>
      <c r="B177" t="inlineStr">
        <is>
          <t>Other Withdrawals - Zelle Instant PMT To Casey Williamson</t>
        </is>
      </c>
      <c r="C177" t="n">
        <v>800</v>
      </c>
      <c r="D177" t="inlineStr">
        <is>
          <t>Debit</t>
        </is>
      </c>
      <c r="E177" t="inlineStr">
        <is>
          <t>Labor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>
        <is>
          <t>Casey</t>
        </is>
      </c>
    </row>
    <row r="178">
      <c r="A178" s="5" t="n">
        <v>45758</v>
      </c>
      <c r="B178" t="inlineStr">
        <is>
          <t>Other Withdrawals - Zelle Instant PMT To Tabitha Session</t>
        </is>
      </c>
      <c r="C178" t="n">
        <v>182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</row>
    <row r="179">
      <c r="A179" s="5" t="n">
        <v>45761</v>
      </c>
      <c r="B179" t="inlineStr">
        <is>
          <t>Card Withdrawals - ATM Withdrawal 1324 N ILLINOIS SWANSEA IL</t>
        </is>
      </c>
      <c r="C179" t="n">
        <v>202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</row>
    <row r="180">
      <c r="A180" s="5" t="n">
        <v>45761</v>
      </c>
      <c r="B180" t="inlineStr">
        <is>
          <t>Card Withdrawals - Debit Purchase - VISA On 041125 4029357733 CA 3514134235</t>
        </is>
      </c>
      <c r="C180" t="n">
        <v>641.34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</row>
    <row r="181">
      <c r="A181" s="5" t="n">
        <v>45761</v>
      </c>
      <c r="B181" t="inlineStr">
        <is>
          <t>Card Withdrawals - Debit Purchase MOTOMART FREEBURG IL</t>
        </is>
      </c>
      <c r="C181" t="n">
        <v>99.58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</row>
    <row r="182">
      <c r="A182" s="5" t="n">
        <v>45761</v>
      </c>
      <c r="B182" t="inlineStr">
        <is>
          <t>Card Withdrawals - Fee ATM Withdrawal At Other Network 1400000253</t>
        </is>
      </c>
      <c r="C182" t="n">
        <v>2.5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</row>
    <row r="183">
      <c r="A183" s="5" t="n">
        <v>45761</v>
      </c>
      <c r="B183" t="inlineStr">
        <is>
          <t>Other Withdrawals - Analysis Service Charge 1400000000</t>
        </is>
      </c>
      <c r="C183" t="n">
        <v>16</v>
      </c>
      <c r="D183" t="inlineStr">
        <is>
          <t>Debit</t>
        </is>
      </c>
      <c r="E183" t="inlineStr">
        <is>
          <t>Repairs</t>
        </is>
      </c>
      <c r="F183">
        <f>IF(E183="Income","Revenue",IF(OR(E183="Materials",E183="Labor",E183="Dump Fees"),"COGS",IF(OR(E183="Fuel",E183="Insurance",E183="Tools",E183="Repairs"),"Expense","Non-Deductible")))</f>
        <v/>
      </c>
    </row>
    <row r="184">
      <c r="A184" s="5" t="n">
        <v>45762</v>
      </c>
      <c r="B184" t="inlineStr">
        <is>
          <t>Card Withdrawals - ATM Withdrawal 15 LUDWIG DR FAIRVIEW HEI IL</t>
        </is>
      </c>
      <c r="C184" t="n">
        <v>188</v>
      </c>
      <c r="D184" t="inlineStr">
        <is>
          <t>Debit</t>
        </is>
      </c>
      <c r="E184" t="inlineStr">
        <is>
          <t>Tools</t>
        </is>
      </c>
      <c r="F184">
        <f>IF(E184="Income","Revenue",IF(OR(E184="Materials",E184="Labor",E184="Dump Fees"),"COGS",IF(OR(E184="Fuel",E184="Insurance",E184="Tools",E184="Repairs"),"Expense","Non-Deductible")))</f>
        <v/>
      </c>
    </row>
    <row r="185">
      <c r="A185" s="5" t="n">
        <v>45762</v>
      </c>
      <c r="B185" t="inlineStr">
        <is>
          <t>Card Withdrawals - Fee ATM Withdrawal At Other Network 1500000088</t>
        </is>
      </c>
      <c r="C185" t="n">
        <v>2.5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</row>
    <row r="186">
      <c r="A186" s="5" t="n">
        <v>45762</v>
      </c>
      <c r="B186" t="inlineStr">
        <is>
          <t>Other Withdrawals - Electronic Withdrawal To MERCURY CARD FBT</t>
        </is>
      </c>
      <c r="C186" t="n">
        <v>754.53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</row>
    <row r="187">
      <c r="A187" s="5" t="n">
        <v>45762</v>
      </c>
      <c r="B187" t="inlineStr">
        <is>
          <t>Other Withdrawals - Electronic Withdrawal To MISSION LANE</t>
        </is>
      </c>
      <c r="C187" t="n">
        <v>500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</row>
    <row r="188">
      <c r="A188" s="5" t="n">
        <v>45763</v>
      </c>
      <c r="B188" t="inlineStr">
        <is>
          <t>Card Withdrawals - Debit Purchase SAMSCLUB #4878 GLEN CARBON IL</t>
        </is>
      </c>
      <c r="C188" t="n">
        <v>71.39</v>
      </c>
      <c r="D188" t="inlineStr">
        <is>
          <t>Debit</t>
        </is>
      </c>
      <c r="E188" t="inlineStr">
        <is>
          <t>Tools</t>
        </is>
      </c>
      <c r="F188">
        <f>IF(E188="Income","Revenue",IF(OR(E188="Materials",E188="Labor",E188="Dump Fees"),"COGS",IF(OR(E188="Fuel",E188="Insurance",E188="Tools",E188="Repairs"),"Expense","Non-Deductible")))</f>
        <v/>
      </c>
    </row>
    <row r="189">
      <c r="A189" s="5" t="n">
        <v>45763</v>
      </c>
      <c r="B189" t="inlineStr">
        <is>
          <t>Other Deposits - Mobile Check Deposit 8614035980</t>
        </is>
      </c>
      <c r="C189" t="n">
        <v>5000</v>
      </c>
      <c r="D189" t="inlineStr">
        <is>
          <t>Credit</t>
        </is>
      </c>
      <c r="E189" t="inlineStr">
        <is>
          <t>Income</t>
        </is>
      </c>
      <c r="F189">
        <f>IF(E189="Income","Revenue",IF(OR(E189="Materials",E189="Labor",E189="Dump Fees"),"COGS",IF(OR(E189="Fuel",E189="Insurance",E189="Tools",E189="Repairs"),"Expense","Non-Deductible")))</f>
        <v/>
      </c>
    </row>
    <row r="190">
      <c r="A190" s="5" t="n">
        <v>45763</v>
      </c>
      <c r="B190" t="inlineStr">
        <is>
          <t>Other Withdrawals - Electronic Withdrawal To CATHOLIC CCU</t>
        </is>
      </c>
      <c r="C190" t="n">
        <v>572.5</v>
      </c>
      <c r="D190" t="inlineStr">
        <is>
          <t>Debit</t>
        </is>
      </c>
      <c r="E190" t="inlineStr">
        <is>
          <t>Tools</t>
        </is>
      </c>
      <c r="F190">
        <f>IF(E190="Income","Revenue",IF(OR(E190="Materials",E190="Labor",E190="Dump Fees"),"COGS",IF(OR(E190="Fuel",E190="Insurance",E190="Tools",E190="Repairs"),"Expense","Non-Deductible")))</f>
        <v/>
      </c>
    </row>
    <row r="191">
      <c r="A191" s="5" t="n">
        <v>45763</v>
      </c>
      <c r="B191" t="inlineStr">
        <is>
          <t>Other Withdrawals - Electronic Withdrawal To MIDLAND MTG</t>
        </is>
      </c>
      <c r="C191" t="n">
        <v>1164.56</v>
      </c>
      <c r="D191" t="inlineStr">
        <is>
          <t>Debit</t>
        </is>
      </c>
      <c r="E191" t="inlineStr">
        <is>
          <t>Tools</t>
        </is>
      </c>
      <c r="F191">
        <f>IF(E191="Income","Revenue",IF(OR(E191="Materials",E191="Labor",E191="Dump Fees"),"COGS",IF(OR(E191="Fuel",E191="Insurance",E191="Tools",E191="Repairs"),"Expense","Non-Deductible")))</f>
        <v/>
      </c>
    </row>
    <row r="192">
      <c r="A192" s="5" t="n">
        <v>45764</v>
      </c>
      <c r="B192" t="inlineStr">
        <is>
          <t>Card Withdrawals - Debit Purchase - VISA On 041525 FAIRVIEW HTS IL 6188255182</t>
        </is>
      </c>
      <c r="C192" t="n">
        <v>121.68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</row>
    <row r="193">
      <c r="A193" s="5" t="n">
        <v>45765</v>
      </c>
      <c r="B193" t="inlineStr">
        <is>
          <t>Card Withdrawals - Debit Purchase CIRCLE K # 01345 CASEYVILLE IL</t>
        </is>
      </c>
      <c r="C193" t="n">
        <v>18.23</v>
      </c>
      <c r="D193" t="inlineStr">
        <is>
          <t>Debit</t>
        </is>
      </c>
      <c r="E193" t="inlineStr">
        <is>
          <t>Labor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>
        <is>
          <t>Casey</t>
        </is>
      </c>
    </row>
    <row r="194">
      <c r="A194" s="5" t="n">
        <v>45765</v>
      </c>
      <c r="B194" t="inlineStr">
        <is>
          <t>Other Deposits - Branch Account Transfer From Account 152316875235</t>
        </is>
      </c>
      <c r="C194" t="n">
        <v>1500</v>
      </c>
      <c r="D194" t="inlineStr">
        <is>
          <t>Credit</t>
        </is>
      </c>
      <c r="E194" t="inlineStr">
        <is>
          <t>Transfer</t>
        </is>
      </c>
      <c r="F194">
        <f>IF(E194="Income","Revenue",IF(OR(E194="Materials",E194="Labor",E194="Dump Fees"),"COGS",IF(OR(E194="Fuel",E194="Insurance",E194="Tools",E194="Repairs"),"Expense","Non-Deductible")))</f>
        <v/>
      </c>
    </row>
    <row r="195">
      <c r="A195" s="5" t="n">
        <v>45765</v>
      </c>
      <c r="B195" t="inlineStr">
        <is>
          <t>Other Withdrawals - Customer Withdrawal 9213096586</t>
        </is>
      </c>
      <c r="C195" t="n">
        <v>6000</v>
      </c>
      <c r="D195" t="inlineStr">
        <is>
          <t>Debit</t>
        </is>
      </c>
      <c r="E195" t="inlineStr">
        <is>
          <t>Tools</t>
        </is>
      </c>
      <c r="F195">
        <f>IF(E195="Income","Revenue",IF(OR(E195="Materials",E195="Labor",E195="Dump Fees"),"COGS",IF(OR(E195="Fuel",E195="Insurance",E195="Tools",E195="Repairs"),"Expense","Non-Deductible")))</f>
        <v/>
      </c>
    </row>
    <row r="196">
      <c r="A196" s="5" t="n">
        <v>45765</v>
      </c>
      <c r="B196" t="inlineStr">
        <is>
          <t>Other Withdrawals - Mobile Banking Transfer To Account 152316875235</t>
        </is>
      </c>
      <c r="C196" t="n">
        <v>2000</v>
      </c>
      <c r="D196" t="inlineStr">
        <is>
          <t>Debit</t>
        </is>
      </c>
      <c r="E196" t="inlineStr">
        <is>
          <t>Transfer</t>
        </is>
      </c>
      <c r="F196">
        <f>IF(E196="Income","Revenue",IF(OR(E196="Materials",E196="Labor",E196="Dump Fees"),"COGS",IF(OR(E196="Fuel",E196="Insurance",E196="Tools",E196="Repairs"),"Expense","Non-Deductible")))</f>
        <v/>
      </c>
    </row>
    <row r="197">
      <c r="A197" s="5" t="n">
        <v>45765</v>
      </c>
      <c r="B197" t="inlineStr">
        <is>
          <t>Other Withdrawals - Zelle Instant PMT To Brian Davis</t>
        </is>
      </c>
      <c r="C197" t="n">
        <v>720</v>
      </c>
      <c r="D197" t="inlineStr">
        <is>
          <t>Debit</t>
        </is>
      </c>
      <c r="E197" t="inlineStr">
        <is>
          <t>Labor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>
        <is>
          <t>Bryan</t>
        </is>
      </c>
    </row>
    <row r="198">
      <c r="A198" s="5" t="n">
        <v>45765</v>
      </c>
      <c r="B198" t="inlineStr">
        <is>
          <t>Other Withdrawals - Zelle Instant PMT To Casey Williamson</t>
        </is>
      </c>
      <c r="C198" t="n">
        <v>800</v>
      </c>
      <c r="D198" t="inlineStr">
        <is>
          <t>Debit</t>
        </is>
      </c>
      <c r="E198" t="inlineStr">
        <is>
          <t>Labor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>
        <is>
          <t>Casey</t>
        </is>
      </c>
    </row>
    <row r="199">
      <c r="A199" s="5" t="n">
        <v>45768</v>
      </c>
      <c r="B199" t="inlineStr">
        <is>
          <t>Card Withdrawals - Debit Purchase - VISA On 041825 4029357733 CA 0515349189</t>
        </is>
      </c>
      <c r="C199" t="n">
        <v>407.2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</row>
    <row r="200">
      <c r="A200" s="5" t="n">
        <v>45768</v>
      </c>
      <c r="B200" t="inlineStr">
        <is>
          <t>Card Withdrawals - Debit Purchase - VISA On 041825 FAIRVIEW HEI IL 0570012093</t>
        </is>
      </c>
      <c r="C200" t="n">
        <v>87.26000000000001</v>
      </c>
      <c r="D200" t="inlineStr">
        <is>
          <t>Debit</t>
        </is>
      </c>
      <c r="E200" t="inlineStr">
        <is>
          <t>Tools</t>
        </is>
      </c>
      <c r="F200">
        <f>IF(E200="Income","Revenue",IF(OR(E200="Materials",E200="Labor",E200="Dump Fees"),"COGS",IF(OR(E200="Fuel",E200="Insurance",E200="Tools",E200="Repairs"),"Expense","Non-Deductible")))</f>
        <v/>
      </c>
    </row>
    <row r="201">
      <c r="A201" s="5" t="n">
        <v>45768</v>
      </c>
      <c r="B201" t="inlineStr">
        <is>
          <t>Card Withdrawals - Debit Purchase - VISA On 041925 888-5741301 SD 0000021943</t>
        </is>
      </c>
      <c r="C201" t="n">
        <v>114</v>
      </c>
      <c r="D201" t="inlineStr">
        <is>
          <t>Debit</t>
        </is>
      </c>
      <c r="E201" t="inlineStr">
        <is>
          <t>Tools</t>
        </is>
      </c>
      <c r="F201">
        <f>IF(E201="Income","Revenue",IF(OR(E201="Materials",E201="Labor",E201="Dump Fees"),"COGS",IF(OR(E201="Fuel",E201="Insurance",E201="Tools",E201="Repairs"),"Expense","Non-Deductible")))</f>
        <v/>
      </c>
    </row>
    <row r="202">
      <c r="A202" s="5" t="n">
        <v>45768</v>
      </c>
      <c r="B202" t="inlineStr">
        <is>
          <t>Card Withdrawals - Debit Purchase - VISA On 041925 CARTERVILLE IL 0101810139</t>
        </is>
      </c>
      <c r="C202" t="n">
        <v>94.89</v>
      </c>
      <c r="D202" t="inlineStr">
        <is>
          <t>Debit</t>
        </is>
      </c>
      <c r="E202" t="inlineStr">
        <is>
          <t>Tools</t>
        </is>
      </c>
      <c r="F202">
        <f>IF(E202="Income","Revenue",IF(OR(E202="Materials",E202="Labor",E202="Dump Fees"),"COGS",IF(OR(E202="Fuel",E202="Insurance",E202="Tools",E202="Repairs"),"Expense","Non-Deductible")))</f>
        <v/>
      </c>
    </row>
    <row r="203">
      <c r="A203" s="5" t="n">
        <v>45768</v>
      </c>
      <c r="B203" t="inlineStr">
        <is>
          <t>Card Withdrawals - Debit Purchase - VISA On 041925 FREEBURG IL 9720249452</t>
        </is>
      </c>
      <c r="C203" t="n">
        <v>11.07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</row>
    <row r="204">
      <c r="A204" s="5" t="n">
        <v>45769</v>
      </c>
      <c r="B204" t="inlineStr">
        <is>
          <t>Other Withdrawals - Customer Withdrawal 8313721537</t>
        </is>
      </c>
      <c r="C204" t="n">
        <v>400</v>
      </c>
      <c r="D204" t="inlineStr">
        <is>
          <t>Debit</t>
        </is>
      </c>
      <c r="E204" t="inlineStr">
        <is>
          <t>Tools</t>
        </is>
      </c>
      <c r="F204">
        <f>IF(E204="Income","Revenue",IF(OR(E204="Materials",E204="Labor",E204="Dump Fees"),"COGS",IF(OR(E204="Fuel",E204="Insurance",E204="Tools",E204="Repairs"),"Expense","Non-Deductible")))</f>
        <v/>
      </c>
    </row>
    <row r="205">
      <c r="A205" s="5" t="n">
        <v>45771</v>
      </c>
      <c r="B205" t="inlineStr">
        <is>
          <t>Card Withdrawals - Debit Purchase - VISA On 042225 BELLEVILLE IL 3004883792</t>
        </is>
      </c>
      <c r="C205" t="n">
        <v>62.27</v>
      </c>
      <c r="D205" t="inlineStr">
        <is>
          <t>Debit</t>
        </is>
      </c>
      <c r="E205" t="inlineStr">
        <is>
          <t>Tools</t>
        </is>
      </c>
      <c r="F205">
        <f>IF(E205="Income","Revenue",IF(OR(E205="Materials",E205="Labor",E205="Dump Fees"),"COGS",IF(OR(E205="Fuel",E205="Insurance",E205="Tools",E205="Repairs"),"Expense","Non-Deductible")))</f>
        <v/>
      </c>
    </row>
    <row r="206">
      <c r="A206" s="5" t="n">
        <v>45771</v>
      </c>
      <c r="B206" t="inlineStr">
        <is>
          <t>Card Withdrawals - Debit Purchase - VISA On 042325 618-2869595 IL 3104705157</t>
        </is>
      </c>
      <c r="C206" t="n">
        <v>440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</row>
    <row r="207">
      <c r="A207" s="5" t="n">
        <v>45772</v>
      </c>
      <c r="B207" t="inlineStr">
        <is>
          <t>Other Withdrawals - Zelle Instant PMT To Brian Davis</t>
        </is>
      </c>
      <c r="C207" t="n">
        <v>860</v>
      </c>
      <c r="D207" t="inlineStr">
        <is>
          <t>Debit</t>
        </is>
      </c>
      <c r="E207" t="inlineStr">
        <is>
          <t>Labor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>
        <is>
          <t>Bryan</t>
        </is>
      </c>
    </row>
    <row r="208">
      <c r="A208" s="5" t="n">
        <v>45772</v>
      </c>
      <c r="B208" t="inlineStr">
        <is>
          <t>Other Withdrawals - Zelle Instant PMT To Casey Williamson</t>
        </is>
      </c>
      <c r="C208" t="n">
        <v>800</v>
      </c>
      <c r="D208" t="inlineStr">
        <is>
          <t>Debit</t>
        </is>
      </c>
      <c r="E208" t="inlineStr">
        <is>
          <t>Labor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>
        <is>
          <t>Casey</t>
        </is>
      </c>
    </row>
    <row r="209">
      <c r="A209" s="5" t="n">
        <v>45775</v>
      </c>
      <c r="B209" t="inlineStr">
        <is>
          <t>Card Withdrawals - Debit Purchase - VISA On 042525 4029357733 CA 5516532499</t>
        </is>
      </c>
      <c r="C209" t="n">
        <v>407.2</v>
      </c>
      <c r="D209" t="inlineStr">
        <is>
          <t>Debit</t>
        </is>
      </c>
      <c r="E209" t="inlineStr">
        <is>
          <t>Tools</t>
        </is>
      </c>
      <c r="F209">
        <f>IF(E209="Income","Revenue",IF(OR(E209="Materials",E209="Labor",E209="Dump Fees"),"COGS",IF(OR(E209="Fuel",E209="Insurance",E209="Tools",E209="Repairs"),"Expense","Non-Deductible")))</f>
        <v/>
      </c>
    </row>
    <row r="210">
      <c r="A210" s="5" t="n">
        <v>45775</v>
      </c>
      <c r="B210" t="inlineStr">
        <is>
          <t>Card Withdrawals - Recurring Debit Purchase On 042525 888-270-2644 IN 6106643694</t>
        </is>
      </c>
      <c r="C210" t="n">
        <v>817.5</v>
      </c>
      <c r="D210" t="inlineStr">
        <is>
          <t>Debit</t>
        </is>
      </c>
      <c r="E210" t="inlineStr">
        <is>
          <t>Tools</t>
        </is>
      </c>
      <c r="F210">
        <f>IF(E210="Income","Revenue",IF(OR(E210="Materials",E210="Labor",E210="Dump Fees"),"COGS",IF(OR(E210="Fuel",E210="Insurance",E210="Tools",E210="Repairs"),"Expense","Non-Deductible")))</f>
        <v/>
      </c>
    </row>
    <row r="211">
      <c r="A211" s="5" t="n">
        <v>45777</v>
      </c>
      <c r="B211" t="inlineStr">
        <is>
          <t>Card Withdrawals - Recurring Debit Purchase On 042925 800-956-6310 IL 9196753845</t>
        </is>
      </c>
      <c r="C211" t="n">
        <v>328.77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</row>
    <row r="212">
      <c r="A212" s="5" t="n">
        <v>45778</v>
      </c>
      <c r="B212" t="inlineStr">
        <is>
          <t>Other Deposits - Mobile Check Deposit 8913054761 $</t>
        </is>
      </c>
      <c r="C212" t="n">
        <v>3440</v>
      </c>
      <c r="D212" t="inlineStr">
        <is>
          <t>Credit</t>
        </is>
      </c>
      <c r="E212" t="inlineStr">
        <is>
          <t>Income</t>
        </is>
      </c>
      <c r="F212">
        <f>IF(E212="Income","Revenue",IF(OR(E212="Materials",E212="Labor",E212="Dump Fees"),"COGS",IF(OR(E212="Fuel",E212="Insurance",E212="Tools",E212="Repairs"),"Expense","Non-Deductible")))</f>
        <v/>
      </c>
    </row>
    <row r="213">
      <c r="A213" s="5" t="n">
        <v>45778</v>
      </c>
      <c r="B213" t="inlineStr">
        <is>
          <t>Other Withdrawals - 13,733.00 May12 11,716.79 May21</t>
        </is>
      </c>
      <c r="C213" t="n">
        <v>14439.45</v>
      </c>
      <c r="D213" t="inlineStr">
        <is>
          <t>Credit</t>
        </is>
      </c>
      <c r="E213" t="inlineStr">
        <is>
          <t>Income</t>
        </is>
      </c>
      <c r="F213">
        <f>IF(E213="Income","Revenue",IF(OR(E213="Materials",E213="Labor",E213="Dump Fees"),"COGS",IF(OR(E213="Fuel",E213="Insurance",E213="Tools",E213="Repairs"),"Expense","Non-Deductible")))</f>
        <v/>
      </c>
    </row>
    <row r="214">
      <c r="A214" s="5" t="n">
        <v>45779</v>
      </c>
      <c r="B214" t="inlineStr">
        <is>
          <t>Other Withdrawals - 12,133.00 May13 12,366.79 May23</t>
        </is>
      </c>
      <c r="C214" t="n">
        <v>15428.29</v>
      </c>
      <c r="D214" t="inlineStr">
        <is>
          <t>Credit</t>
        </is>
      </c>
      <c r="E214" t="inlineStr">
        <is>
          <t>Income</t>
        </is>
      </c>
      <c r="F214">
        <f>IF(E214="Income","Revenue",IF(OR(E214="Materials",E214="Labor",E214="Dump Fees"),"COGS",IF(OR(E214="Fuel",E214="Insurance",E214="Tools",E214="Repairs"),"Expense","Non-Deductible")))</f>
        <v/>
      </c>
    </row>
    <row r="215">
      <c r="A215" s="5" t="n">
        <v>45779</v>
      </c>
      <c r="B215" t="inlineStr">
        <is>
          <t>Other Withdrawals - Mobile Banking Transfer To Account 152316874980 $</t>
        </is>
      </c>
      <c r="C215" t="n">
        <v>250</v>
      </c>
      <c r="D215" t="inlineStr">
        <is>
          <t>Debit</t>
        </is>
      </c>
      <c r="E215" t="inlineStr">
        <is>
          <t>Transfer</t>
        </is>
      </c>
      <c r="F215">
        <f>IF(E215="Income","Revenue",IF(OR(E215="Materials",E215="Labor",E215="Dump Fees"),"COGS",IF(OR(E215="Fuel",E215="Insurance",E215="Tools",E215="Repairs"),"Expense","Non-Deductible")))</f>
        <v/>
      </c>
    </row>
    <row r="216">
      <c r="A216" s="5" t="n">
        <v>45779</v>
      </c>
      <c r="B216" t="inlineStr">
        <is>
          <t>Other Withdrawals - Zelle Instant PMT To Brian Davis</t>
        </is>
      </c>
      <c r="C216" t="n">
        <v>850</v>
      </c>
      <c r="D216" t="inlineStr">
        <is>
          <t>Debit</t>
        </is>
      </c>
      <c r="E216" t="inlineStr">
        <is>
          <t>Labor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>
        <is>
          <t>Bryan</t>
        </is>
      </c>
    </row>
    <row r="217">
      <c r="A217" s="5" t="n">
        <v>45779</v>
      </c>
      <c r="B217" t="inlineStr">
        <is>
          <t>Other Withdrawals - Zelle Instant PMT To Casey Williamson</t>
        </is>
      </c>
      <c r="C217" t="n">
        <v>500</v>
      </c>
      <c r="D217" t="inlineStr">
        <is>
          <t>Debit</t>
        </is>
      </c>
      <c r="E217" t="inlineStr">
        <is>
          <t>Labor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>
        <is>
          <t>Casey</t>
        </is>
      </c>
    </row>
    <row r="218">
      <c r="A218" s="5" t="n">
        <v>45782</v>
      </c>
      <c r="B218" t="inlineStr">
        <is>
          <t>Card Withdrawals - Debit Purchase - VISA On 050225 4029357733 CA 4517758979</t>
        </is>
      </c>
      <c r="C218" t="n">
        <v>202.49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</row>
    <row r="219">
      <c r="A219" s="5" t="n">
        <v>45782</v>
      </c>
      <c r="B219" t="inlineStr">
        <is>
          <t>Card Withdrawals - Debit Purchase CIRCLE K 01590 1 BELLEVILLE IL $</t>
        </is>
      </c>
      <c r="C219" t="n">
        <v>98.28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</row>
    <row r="220">
      <c r="A220" s="5" t="n">
        <v>45782</v>
      </c>
      <c r="B220" t="inlineStr">
        <is>
          <t>Other Withdrawals - 11,532.23 May14 12,118.44 May27</t>
        </is>
      </c>
      <c r="C220" t="n">
        <v>13512.24</v>
      </c>
      <c r="D220" t="inlineStr">
        <is>
          <t>Credit</t>
        </is>
      </c>
      <c r="E220" t="inlineStr">
        <is>
          <t>Income</t>
        </is>
      </c>
      <c r="F220">
        <f>IF(E220="Income","Revenue",IF(OR(E220="Materials",E220="Labor",E220="Dump Fees"),"COGS",IF(OR(E220="Fuel",E220="Insurance",E220="Tools",E220="Repairs"),"Expense","Non-Deductible")))</f>
        <v/>
      </c>
    </row>
    <row r="221">
      <c r="A221" s="5" t="n">
        <v>45782</v>
      </c>
      <c r="B221" t="inlineStr">
        <is>
          <t>Other Withdrawals - Mobile Banking Transfer To Account 152316875235</t>
        </is>
      </c>
      <c r="C221" t="n">
        <v>300</v>
      </c>
      <c r="D221" t="inlineStr">
        <is>
          <t>Debit</t>
        </is>
      </c>
      <c r="E221" t="inlineStr">
        <is>
          <t>Transfer</t>
        </is>
      </c>
      <c r="F221">
        <f>IF(E221="Income","Revenue",IF(OR(E221="Materials",E221="Labor",E221="Dump Fees"),"COGS",IF(OR(E221="Fuel",E221="Insurance",E221="Tools",E221="Repairs"),"Expense","Non-Deductible")))</f>
        <v/>
      </c>
    </row>
    <row r="222">
      <c r="A222" s="5" t="n">
        <v>45783</v>
      </c>
      <c r="B222" t="inlineStr">
        <is>
          <t>Card Withdrawals - Debit Purchase - VISA On 050525 618-2330513 IL 6001800141</t>
        </is>
      </c>
      <c r="C222" t="n">
        <v>114.85</v>
      </c>
      <c r="D222" t="inlineStr">
        <is>
          <t>Debit</t>
        </is>
      </c>
      <c r="E222" t="inlineStr">
        <is>
          <t>Tools</t>
        </is>
      </c>
      <c r="F222">
        <f>IF(E222="Income","Revenue",IF(OR(E222="Materials",E222="Labor",E222="Dump Fees"),"COGS",IF(OR(E222="Fuel",E222="Insurance",E222="Tools",E222="Repairs"),"Expense","Non-Deductible")))</f>
        <v/>
      </c>
    </row>
    <row r="223">
      <c r="A223" s="5" t="n">
        <v>45783</v>
      </c>
      <c r="B223" t="inlineStr">
        <is>
          <t>Other Withdrawals - 20,036.31 May15 18,714.45 May28</t>
        </is>
      </c>
      <c r="C223" t="n">
        <v>13013.24</v>
      </c>
      <c r="D223" t="inlineStr">
        <is>
          <t>Credit</t>
        </is>
      </c>
      <c r="E223" t="inlineStr">
        <is>
          <t>Income</t>
        </is>
      </c>
      <c r="F223">
        <f>IF(E223="Income","Revenue",IF(OR(E223="Materials",E223="Labor",E223="Dump Fees"),"COGS",IF(OR(E223="Fuel",E223="Insurance",E223="Tools",E223="Repairs"),"Expense","Non-Deductible")))</f>
        <v/>
      </c>
    </row>
    <row r="224">
      <c r="A224" s="5" t="n">
        <v>45783</v>
      </c>
      <c r="B224" t="inlineStr">
        <is>
          <t>Other Withdrawals - Customer Withdrawal 8314809301</t>
        </is>
      </c>
      <c r="C224" t="n">
        <v>850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</row>
    <row r="225">
      <c r="A225" s="5" t="n">
        <v>45783</v>
      </c>
      <c r="B225" t="inlineStr">
        <is>
          <t>Other Withdrawals - Electronic Withdrawal To CEFCU TEL DEBIT</t>
        </is>
      </c>
      <c r="C225" t="n">
        <v>1042.46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</row>
    <row r="226">
      <c r="A226" s="5" t="n">
        <v>45784</v>
      </c>
      <c r="B226" t="inlineStr">
        <is>
          <t>Card Withdrawals - Debit Purchase - VISA On 050525 800-288-2020 TX 6103735171</t>
        </is>
      </c>
      <c r="C226" t="n">
        <v>75.98999999999999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</row>
    <row r="227">
      <c r="A227" s="5" t="n">
        <v>45784</v>
      </c>
      <c r="B227" t="inlineStr">
        <is>
          <t>Other Deposits - Zelle Instant PMT To Nadia Session</t>
        </is>
      </c>
      <c r="C227" t="n">
        <v>243</v>
      </c>
      <c r="D227" t="inlineStr">
        <is>
          <t>Credit</t>
        </is>
      </c>
      <c r="E227" t="inlineStr">
        <is>
          <t>Income</t>
        </is>
      </c>
      <c r="F227">
        <f>IF(E227="Income","Revenue",IF(OR(E227="Materials",E227="Labor",E227="Dump Fees"),"COGS",IF(OR(E227="Fuel",E227="Insurance",E227="Tools",E227="Repairs"),"Expense","Non-Deductible")))</f>
        <v/>
      </c>
    </row>
    <row r="228">
      <c r="A228" s="5" t="n">
        <v>45784</v>
      </c>
      <c r="B228" t="inlineStr">
        <is>
          <t>Other Withdrawals - 17,696.32 May16 16,124.89 May29</t>
        </is>
      </c>
      <c r="C228" t="n">
        <v>13001.43</v>
      </c>
      <c r="D228" t="inlineStr">
        <is>
          <t>Credit</t>
        </is>
      </c>
      <c r="E228" t="inlineStr">
        <is>
          <t>Income</t>
        </is>
      </c>
      <c r="F228">
        <f>IF(E228="Income","Revenue",IF(OR(E228="Materials",E228="Labor",E228="Dump Fees"),"COGS",IF(OR(E228="Fuel",E228="Insurance",E228="Tools",E228="Repairs"),"Expense","Non-Deductible")))</f>
        <v/>
      </c>
    </row>
    <row r="229">
      <c r="A229" s="5" t="n">
        <v>45784</v>
      </c>
      <c r="B229" t="inlineStr">
        <is>
          <t>Other Withdrawals - Mobile Banking Payment To Credit Card *************3424</t>
        </is>
      </c>
      <c r="C229" t="n">
        <v>2000</v>
      </c>
      <c r="D229" t="inlineStr">
        <is>
          <t>Debit</t>
        </is>
      </c>
      <c r="E229" t="inlineStr">
        <is>
          <t>Fuel</t>
        </is>
      </c>
      <c r="F229">
        <f>IF(E229="Income","Revenue",IF(OR(E229="Materials",E229="Labor",E229="Dump Fees"),"COGS",IF(OR(E229="Fuel",E229="Insurance",E229="Tools",E229="Repairs"),"Expense","Non-Deductible")))</f>
        <v/>
      </c>
    </row>
    <row r="230">
      <c r="A230" s="5" t="n">
        <v>45784</v>
      </c>
      <c r="B230" t="inlineStr">
        <is>
          <t>Other Withdrawals - Mobile Banking Transfer To Account 152316874980</t>
        </is>
      </c>
      <c r="C230" t="n">
        <v>21</v>
      </c>
      <c r="D230" t="inlineStr">
        <is>
          <t>Debit</t>
        </is>
      </c>
      <c r="E230" t="inlineStr">
        <is>
          <t>Transfer</t>
        </is>
      </c>
      <c r="F230">
        <f>IF(E230="Income","Revenue",IF(OR(E230="Materials",E230="Labor",E230="Dump Fees"),"COGS",IF(OR(E230="Fuel",E230="Insurance",E230="Tools",E230="Repairs"),"Expense","Non-Deductible")))</f>
        <v/>
      </c>
    </row>
    <row r="231">
      <c r="A231" s="5" t="n">
        <v>45784</v>
      </c>
      <c r="B231" t="inlineStr">
        <is>
          <t>Other Withdrawals - Zelle Instant PMT To Nadia Session</t>
        </is>
      </c>
      <c r="C231" t="n">
        <v>243</v>
      </c>
      <c r="D231" t="inlineStr">
        <is>
          <t>Debit</t>
        </is>
      </c>
      <c r="E231" t="inlineStr">
        <is>
          <t>Tools</t>
        </is>
      </c>
      <c r="F231">
        <f>IF(E231="Income","Revenue",IF(OR(E231="Materials",E231="Labor",E231="Dump Fees"),"COGS",IF(OR(E231="Fuel",E231="Insurance",E231="Tools",E231="Repairs"),"Expense","Non-Deductible")))</f>
        <v/>
      </c>
    </row>
    <row r="232">
      <c r="A232" s="5" t="n">
        <v>45785</v>
      </c>
      <c r="B232" t="inlineStr">
        <is>
          <t>Card Withdrawals - Debit Purchase - VISA On 050625 EAST ALTON IL 7104386804</t>
        </is>
      </c>
      <c r="C232" t="n">
        <v>11.64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</row>
    <row r="233">
      <c r="A233" s="5" t="n">
        <v>45785</v>
      </c>
      <c r="B233" t="inlineStr">
        <is>
          <t>Card Withdrawals - Debit Purchase - VISA On 050625 EAST ALTON IL 7104386805</t>
        </is>
      </c>
      <c r="C233" t="n">
        <v>11.19</v>
      </c>
      <c r="D233" t="inlineStr">
        <is>
          <t>Debit</t>
        </is>
      </c>
      <c r="E233" t="inlineStr">
        <is>
          <t>Tools</t>
        </is>
      </c>
      <c r="F233">
        <f>IF(E233="Income","Revenue",IF(OR(E233="Materials",E233="Labor",E233="Dump Fees"),"COGS",IF(OR(E233="Fuel",E233="Insurance",E233="Tools",E233="Repairs"),"Expense","Non-Deductible")))</f>
        <v/>
      </c>
    </row>
    <row r="234">
      <c r="A234" s="5" t="n">
        <v>45785</v>
      </c>
      <c r="B234" t="inlineStr">
        <is>
          <t>Card Withdrawals - Debit Purchase - VISA On 050725 FREEBURG IL 7720246863</t>
        </is>
      </c>
      <c r="C234" t="n">
        <v>10.65</v>
      </c>
      <c r="D234" t="inlineStr">
        <is>
          <t>Debit</t>
        </is>
      </c>
      <c r="E234" t="inlineStr">
        <is>
          <t>Tools</t>
        </is>
      </c>
      <c r="F234">
        <f>IF(E234="Income","Revenue",IF(OR(E234="Materials",E234="Labor",E234="Dump Fees"),"COGS",IF(OR(E234="Fuel",E234="Insurance",E234="Tools",E234="Repairs"),"Expense","Non-Deductible")))</f>
        <v/>
      </c>
    </row>
    <row r="235">
      <c r="A235" s="5" t="n">
        <v>45785</v>
      </c>
      <c r="B235" t="inlineStr">
        <is>
          <t>Other Withdrawals - 13,795.84 May19 15,500.95 May30</t>
        </is>
      </c>
      <c r="C235" t="n">
        <v>11822.43</v>
      </c>
      <c r="D235" t="inlineStr">
        <is>
          <t>Credit</t>
        </is>
      </c>
      <c r="E235" t="inlineStr">
        <is>
          <t>Income</t>
        </is>
      </c>
      <c r="F235">
        <f>IF(E235="Income","Revenue",IF(OR(E235="Materials",E235="Labor",E235="Dump Fees"),"COGS",IF(OR(E235="Fuel",E235="Insurance",E235="Tools",E235="Repairs"),"Expense","Non-Deductible")))</f>
        <v/>
      </c>
    </row>
    <row r="236">
      <c r="A236" s="5" t="n">
        <v>45785</v>
      </c>
      <c r="B236" t="inlineStr">
        <is>
          <t>Other Withdrawals - Electronic Withdrawal To DISCOVER</t>
        </is>
      </c>
      <c r="C236" t="n">
        <v>2000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</row>
    <row r="237">
      <c r="A237" s="5" t="n">
        <v>45785</v>
      </c>
      <c r="B237" t="inlineStr">
        <is>
          <t>Other Withdrawals - Electronic Withdrawal To MERCURY CARD FBT</t>
        </is>
      </c>
      <c r="C237" t="n">
        <v>700</v>
      </c>
      <c r="D237" t="inlineStr">
        <is>
          <t>Debit</t>
        </is>
      </c>
      <c r="E237" t="inlineStr">
        <is>
          <t>Tools</t>
        </is>
      </c>
      <c r="F237">
        <f>IF(E237="Income","Revenue",IF(OR(E237="Materials",E237="Labor",E237="Dump Fees"),"COGS",IF(OR(E237="Fuel",E237="Insurance",E237="Tools",E237="Repairs"),"Expense","Non-Deductible")))</f>
        <v/>
      </c>
    </row>
    <row r="238">
      <c r="A238" s="5" t="n">
        <v>45785</v>
      </c>
      <c r="B238" t="inlineStr">
        <is>
          <t>Other Withdrawals - Mobile Banking Transfer To Account 152316875235</t>
        </is>
      </c>
      <c r="C238" t="n">
        <v>540</v>
      </c>
      <c r="D238" t="inlineStr">
        <is>
          <t>Debit</t>
        </is>
      </c>
      <c r="E238" t="inlineStr">
        <is>
          <t>Transfer</t>
        </is>
      </c>
      <c r="F238">
        <f>IF(E238="Income","Revenue",IF(OR(E238="Materials",E238="Labor",E238="Dump Fees"),"COGS",IF(OR(E238="Fuel",E238="Insurance",E238="Tools",E238="Repairs"),"Expense","Non-Deductible")))</f>
        <v/>
      </c>
    </row>
    <row r="239">
      <c r="A239" s="5" t="n">
        <v>45785</v>
      </c>
      <c r="B239" t="inlineStr">
        <is>
          <t>Other Withdrawals - Mobile Banking Transfer To Account 152316875235</t>
        </is>
      </c>
      <c r="C239" t="n">
        <v>627</v>
      </c>
      <c r="D239" t="inlineStr">
        <is>
          <t>Debit</t>
        </is>
      </c>
      <c r="E239" t="inlineStr">
        <is>
          <t>Transfer</t>
        </is>
      </c>
      <c r="F239">
        <f>IF(E239="Income","Revenue",IF(OR(E239="Materials",E239="Labor",E239="Dump Fees"),"COGS",IF(OR(E239="Fuel",E239="Insurance",E239="Tools",E239="Repairs"),"Expense","Non-Deductible")))</f>
        <v/>
      </c>
    </row>
    <row r="240">
      <c r="A240" s="5" t="n">
        <v>45786</v>
      </c>
      <c r="B240" t="inlineStr">
        <is>
          <t>Card Withdrawals - Debit Purchase - VISA On 050725 FAIRVIEW HEI IL 8105130238</t>
        </is>
      </c>
      <c r="C240" t="n">
        <v>17.98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</row>
    <row r="241">
      <c r="A241" s="5" t="n">
        <v>45786</v>
      </c>
      <c r="B241" t="inlineStr">
        <is>
          <t>Card Withdrawals - Debit Purchase DOLLAR-GENERAL # FREEBURG IL 0805091440</t>
        </is>
      </c>
      <c r="C241" t="n">
        <v>85.68000000000001</v>
      </c>
      <c r="D241" t="inlineStr">
        <is>
          <t>Debit</t>
        </is>
      </c>
      <c r="E241" t="inlineStr">
        <is>
          <t>Tools</t>
        </is>
      </c>
      <c r="F241">
        <f>IF(E241="Income","Revenue",IF(OR(E241="Materials",E241="Labor",E241="Dump Fees"),"COGS",IF(OR(E241="Fuel",E241="Insurance",E241="Tools",E241="Repairs"),"Expense","Non-Deductible")))</f>
        <v/>
      </c>
    </row>
    <row r="242">
      <c r="A242" s="5" t="n">
        <v>45786</v>
      </c>
      <c r="B242" t="inlineStr">
        <is>
          <t>Card Withdrawals - Debit Purchase verifyvend855-55 PROVIDENCE RI 6105091318</t>
        </is>
      </c>
      <c r="C242" t="n">
        <v>275</v>
      </c>
      <c r="D242" t="inlineStr">
        <is>
          <t>Debit</t>
        </is>
      </c>
      <c r="E242" t="inlineStr">
        <is>
          <t>Tools</t>
        </is>
      </c>
      <c r="F242">
        <f>IF(E242="Income","Revenue",IF(OR(E242="Materials",E242="Labor",E242="Dump Fees"),"COGS",IF(OR(E242="Fuel",E242="Insurance",E242="Tools",E242="Repairs"),"Expense","Non-Deductible")))</f>
        <v/>
      </c>
    </row>
    <row r="243">
      <c r="A243" s="5" t="n">
        <v>45786</v>
      </c>
      <c r="B243" t="inlineStr">
        <is>
          <t>Other Withdrawals - 12,217.18 May20</t>
        </is>
      </c>
      <c r="C243" t="n">
        <v>14579.74</v>
      </c>
      <c r="D243" t="inlineStr">
        <is>
          <t>Credit</t>
        </is>
      </c>
      <c r="E243" t="inlineStr">
        <is>
          <t>Income</t>
        </is>
      </c>
      <c r="F243">
        <f>IF(E243="Income","Revenue",IF(OR(E243="Materials",E243="Labor",E243="Dump Fees"),"COGS",IF(OR(E243="Fuel",E243="Insurance",E243="Tools",E243="Repairs"),"Expense","Non-Deductible")))</f>
        <v/>
      </c>
    </row>
    <row r="244">
      <c r="A244" s="5" t="n">
        <v>45786</v>
      </c>
      <c r="B244" t="inlineStr">
        <is>
          <t>Other Withdrawals - Mobile Banking Transfer To Account 152316875235</t>
        </is>
      </c>
      <c r="C244" t="n">
        <v>200</v>
      </c>
      <c r="D244" t="inlineStr">
        <is>
          <t>Debit</t>
        </is>
      </c>
      <c r="E244" t="inlineStr">
        <is>
          <t>Transfer</t>
        </is>
      </c>
      <c r="F244">
        <f>IF(E244="Income","Revenue",IF(OR(E244="Materials",E244="Labor",E244="Dump Fees"),"COGS",IF(OR(E244="Fuel",E244="Insurance",E244="Tools",E244="Repairs"),"Expense","Non-Deductible")))</f>
        <v/>
      </c>
    </row>
    <row r="245">
      <c r="A245" s="5" t="n">
        <v>45786</v>
      </c>
      <c r="B245" t="inlineStr">
        <is>
          <t>Other Withdrawals - Zelle Instant PMT To Brian Davis</t>
        </is>
      </c>
      <c r="C245" t="n">
        <v>800</v>
      </c>
      <c r="D245" t="inlineStr">
        <is>
          <t>Debit</t>
        </is>
      </c>
      <c r="E245" t="inlineStr">
        <is>
          <t>Labor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>
        <is>
          <t>Bryan</t>
        </is>
      </c>
    </row>
    <row r="246">
      <c r="A246" s="5" t="n">
        <v>45786</v>
      </c>
      <c r="B246" t="inlineStr">
        <is>
          <t>Other Withdrawals - Zelle Instant PMT To Casey Williamson</t>
        </is>
      </c>
      <c r="C246" t="n">
        <v>200</v>
      </c>
      <c r="D246" t="inlineStr">
        <is>
          <t>Debit</t>
        </is>
      </c>
      <c r="E246" t="inlineStr">
        <is>
          <t>Labor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>
        <is>
          <t>Casey</t>
        </is>
      </c>
    </row>
    <row r="247">
      <c r="A247" s="5" t="n">
        <v>45810</v>
      </c>
      <c r="B247" t="inlineStr">
        <is>
          <t>Card Withdrawals - Debit Purchase - VISA On 053025 618-2869595 IL 0900017200</t>
        </is>
      </c>
      <c r="C247" t="n">
        <v>454.52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</row>
    <row r="248">
      <c r="A248" s="5" t="n">
        <v>45810</v>
      </c>
      <c r="B248" t="inlineStr">
        <is>
          <t>Card Withdrawals - Debit Purchase - VISA On 053125 MARISSA IL 2300736012</t>
        </is>
      </c>
      <c r="C248" t="n">
        <v>59.69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</row>
    <row r="249">
      <c r="A249" s="5" t="n">
        <v>45810</v>
      </c>
      <c r="B249" t="inlineStr">
        <is>
          <t>Card Withdrawals - Debit Purchase CASEYS #1986 943 MARISSA IL 8105311332 $</t>
        </is>
      </c>
      <c r="C249" t="n">
        <v>7.45</v>
      </c>
      <c r="D249" t="inlineStr">
        <is>
          <t>Debit</t>
        </is>
      </c>
      <c r="E249" t="inlineStr">
        <is>
          <t>Labor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>
        <is>
          <t>Casey</t>
        </is>
      </c>
    </row>
    <row r="250">
      <c r="A250" s="5" t="n">
        <v>45810</v>
      </c>
      <c r="B250" t="inlineStr">
        <is>
          <t>Other Deposits - Mobile Check Deposit 8013933071 $</t>
        </is>
      </c>
      <c r="C250" t="n">
        <v>3250</v>
      </c>
      <c r="D250" t="inlineStr">
        <is>
          <t>Credit</t>
        </is>
      </c>
      <c r="E250" t="inlineStr">
        <is>
          <t>Income</t>
        </is>
      </c>
      <c r="F250">
        <f>IF(E250="Income","Revenue",IF(OR(E250="Materials",E250="Labor",E250="Dump Fees"),"COGS",IF(OR(E250="Fuel",E250="Insurance",E250="Tools",E250="Repairs"),"Expense","Non-Deductible")))</f>
        <v/>
      </c>
    </row>
    <row r="251">
      <c r="A251" s="5" t="n">
        <v>45810</v>
      </c>
      <c r="B251" t="inlineStr">
        <is>
          <t>Other Withdrawals - Zelle Instant PMT To Tabitha Session $</t>
        </is>
      </c>
      <c r="C251" t="n">
        <v>222</v>
      </c>
      <c r="D251" t="inlineStr">
        <is>
          <t>Debit</t>
        </is>
      </c>
      <c r="E251" t="inlineStr">
        <is>
          <t>Tools</t>
        </is>
      </c>
      <c r="F251">
        <f>IF(E251="Income","Revenue",IF(OR(E251="Materials",E251="Labor",E251="Dump Fees"),"COGS",IF(OR(E251="Fuel",E251="Insurance",E251="Tools",E251="Repairs"),"Expense","Non-Deductible")))</f>
        <v/>
      </c>
    </row>
    <row r="252">
      <c r="A252" s="5" t="n">
        <v>45811</v>
      </c>
      <c r="B252" t="inlineStr">
        <is>
          <t>Card Withdrawals - Debit Purchase - VISA On 060225 Freeburg IL 3107975359</t>
        </is>
      </c>
      <c r="C252" t="n">
        <v>5.16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</row>
    <row r="253">
      <c r="A253" s="5" t="n">
        <v>45811</v>
      </c>
      <c r="B253" t="inlineStr">
        <is>
          <t>Card Withdrawals - Debit Purchase CIRCLE K # 01355 COLLINSVILLEIL</t>
        </is>
      </c>
      <c r="C253" t="n">
        <v>93.65000000000001</v>
      </c>
      <c r="D253" t="inlineStr">
        <is>
          <t>Debit</t>
        </is>
      </c>
      <c r="E253" t="inlineStr">
        <is>
          <t>Tools</t>
        </is>
      </c>
      <c r="F253">
        <f>IF(E253="Income","Revenue",IF(OR(E253="Materials",E253="Labor",E253="Dump Fees"),"COGS",IF(OR(E253="Fuel",E253="Insurance",E253="Tools",E253="Repairs"),"Expense","Non-Deductible")))</f>
        <v/>
      </c>
    </row>
    <row r="254">
      <c r="A254" s="5" t="n">
        <v>45811</v>
      </c>
      <c r="B254" t="inlineStr">
        <is>
          <t>Other Withdrawals - Electronic Withdrawal To MERCURY CARD FBT</t>
        </is>
      </c>
      <c r="C254" t="n">
        <v>500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</row>
    <row r="255">
      <c r="A255" s="5" t="n">
        <v>45812</v>
      </c>
      <c r="B255" t="inlineStr">
        <is>
          <t>Card Withdrawals - Debit Purchase - VISA On 060325 FREEBURG IL 4300723778</t>
        </is>
      </c>
      <c r="C255" t="n">
        <v>34.52</v>
      </c>
      <c r="D255" t="inlineStr">
        <is>
          <t>Debit</t>
        </is>
      </c>
      <c r="E255" t="inlineStr">
        <is>
          <t>Tools</t>
        </is>
      </c>
      <c r="F255">
        <f>IF(E255="Income","Revenue",IF(OR(E255="Materials",E255="Labor",E255="Dump Fees"),"COGS",IF(OR(E255="Fuel",E255="Insurance",E255="Tools",E255="Repairs"),"Expense","Non-Deductible")))</f>
        <v/>
      </c>
    </row>
    <row r="256">
      <c r="A256" s="5" t="n">
        <v>45817</v>
      </c>
      <c r="B256" t="inlineStr">
        <is>
          <t>Card Withdrawals - Debit Purchase - VISA On 060625 BELLEVILLE IL 8364861908</t>
        </is>
      </c>
      <c r="C256" t="n">
        <v>49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</row>
    <row r="257">
      <c r="A257" s="5" t="n">
        <v>45817</v>
      </c>
      <c r="B257" t="inlineStr">
        <is>
          <t>Card Withdrawals - Debit Purchase - VISA On 060625 BELLEVILLE IL 9855201074</t>
        </is>
      </c>
      <c r="C257" t="n">
        <v>120.88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</row>
    <row r="258">
      <c r="A258" s="5" t="n">
        <v>45817</v>
      </c>
      <c r="B258" t="inlineStr">
        <is>
          <t>Card Withdrawals - Debit Purchase - VISA On 060625 FREEBURG IL 8364641081</t>
        </is>
      </c>
      <c r="C258" t="n">
        <v>67.14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</row>
    <row r="259">
      <c r="A259" s="5" t="n">
        <v>45817</v>
      </c>
      <c r="B259" t="inlineStr">
        <is>
          <t>Card Withdrawals - Debit Purchase CIRCLE K # 01361 BELLEVILLE IL</t>
        </is>
      </c>
      <c r="C259" t="n">
        <v>12.96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</row>
    <row r="260">
      <c r="A260" s="5" t="n">
        <v>45817</v>
      </c>
      <c r="B260" t="inlineStr">
        <is>
          <t>Card Withdrawals - Debit Purchase verifyvend855-55 PROVIDENCE RI 5606061728</t>
        </is>
      </c>
      <c r="C260" t="n">
        <v>122</v>
      </c>
      <c r="D260" t="inlineStr">
        <is>
          <t>Debit</t>
        </is>
      </c>
      <c r="E260" t="inlineStr">
        <is>
          <t>Tools</t>
        </is>
      </c>
      <c r="F260">
        <f>IF(E260="Income","Revenue",IF(OR(E260="Materials",E260="Labor",E260="Dump Fees"),"COGS",IF(OR(E260="Fuel",E260="Insurance",E260="Tools",E260="Repairs"),"Expense","Non-Deductible")))</f>
        <v/>
      </c>
    </row>
    <row r="261">
      <c r="A261" s="5" t="n">
        <v>45817</v>
      </c>
      <c r="B261" t="inlineStr">
        <is>
          <t>Other Withdrawals - Electronic Withdrawal To CEFCU TEL DEBIT</t>
        </is>
      </c>
      <c r="C261" t="n">
        <v>1042.46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</row>
    <row r="262">
      <c r="A262" s="5" t="n">
        <v>45817</v>
      </c>
      <c r="B262" t="inlineStr">
        <is>
          <t>Other Withdrawals - Electronic Withdrawal To MERCURY CARD FBT</t>
        </is>
      </c>
      <c r="C262" t="n">
        <v>1204.45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</row>
    <row r="263">
      <c r="A263" s="5" t="n">
        <v>45817</v>
      </c>
      <c r="B263" t="inlineStr">
        <is>
          <t>Other Withdrawals - Zelle Instant PMT To Nadia Session</t>
        </is>
      </c>
      <c r="C263" t="n">
        <v>245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</row>
    <row r="264">
      <c r="A264" s="5" t="n">
        <v>45818</v>
      </c>
      <c r="B264" t="inlineStr">
        <is>
          <t>Other Withdrawals - Mobile Banking Transfer To Account 152316874980</t>
        </is>
      </c>
      <c r="C264" t="n">
        <v>60</v>
      </c>
      <c r="D264" t="inlineStr">
        <is>
          <t>Debit</t>
        </is>
      </c>
      <c r="E264" t="inlineStr">
        <is>
          <t>Transfer</t>
        </is>
      </c>
      <c r="F264">
        <f>IF(E264="Income","Revenue",IF(OR(E264="Materials",E264="Labor",E264="Dump Fees"),"COGS",IF(OR(E264="Fuel",E264="Insurance",E264="Tools",E264="Repairs"),"Expense","Non-Deductible")))</f>
        <v/>
      </c>
    </row>
    <row r="265">
      <c r="A265" s="5" t="n">
        <v>45818</v>
      </c>
      <c r="B265" t="inlineStr">
        <is>
          <t>Other Withdrawals - Mobile Banking Transfer To Account 152316875235</t>
        </is>
      </c>
      <c r="C265" t="n">
        <v>200</v>
      </c>
      <c r="D265" t="inlineStr">
        <is>
          <t>Debit</t>
        </is>
      </c>
      <c r="E265" t="inlineStr">
        <is>
          <t>Transfer</t>
        </is>
      </c>
      <c r="F265">
        <f>IF(E265="Income","Revenue",IF(OR(E265="Materials",E265="Labor",E265="Dump Fees"),"COGS",IF(OR(E265="Fuel",E265="Insurance",E265="Tools",E265="Repairs"),"Expense","Non-Deductible")))</f>
        <v/>
      </c>
    </row>
    <row r="266">
      <c r="A266" s="5" t="n">
        <v>45820</v>
      </c>
      <c r="B266" t="inlineStr">
        <is>
          <t>Other Withdrawals - Electronic Withdrawal To BEST BUY</t>
        </is>
      </c>
      <c r="C266" t="n">
        <v>200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</row>
    <row r="267">
      <c r="A267" s="5" t="n">
        <v>45821</v>
      </c>
      <c r="B267" t="inlineStr">
        <is>
          <t>Card Withdrawals - Debit Purchase CIRCLE K # 01461 BELLEVILLE IL</t>
        </is>
      </c>
      <c r="C267" t="n">
        <v>100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</row>
    <row r="268">
      <c r="A268" s="5" t="n">
        <v>45824</v>
      </c>
      <c r="B268" t="inlineStr">
        <is>
          <t>Card Withdrawals - Debit Purchase - VISA On 061425 CARBONDALE IL 6001068534</t>
        </is>
      </c>
      <c r="C268" t="n">
        <v>416.83</v>
      </c>
      <c r="D268" t="inlineStr">
        <is>
          <t>Debit</t>
        </is>
      </c>
      <c r="E268" t="inlineStr">
        <is>
          <t>Tools</t>
        </is>
      </c>
      <c r="F268">
        <f>IF(E268="Income","Revenue",IF(OR(E268="Materials",E268="Labor",E268="Dump Fees"),"COGS",IF(OR(E268="Fuel",E268="Insurance",E268="Tools",E268="Repairs"),"Expense","Non-Deductible")))</f>
        <v/>
      </c>
    </row>
    <row r="269">
      <c r="A269" s="5" t="n">
        <v>45824</v>
      </c>
      <c r="B269" t="inlineStr">
        <is>
          <t>Card Withdrawals - Debit Purchase verifyvend855-55 PROVIDENCE RI 8606131800</t>
        </is>
      </c>
      <c r="C269" t="n">
        <v>202</v>
      </c>
      <c r="D269" t="inlineStr">
        <is>
          <t>Debit</t>
        </is>
      </c>
      <c r="E269" t="inlineStr">
        <is>
          <t>Tools</t>
        </is>
      </c>
      <c r="F269">
        <f>IF(E269="Income","Revenue",IF(OR(E269="Materials",E269="Labor",E269="Dump Fees"),"COGS",IF(OR(E269="Fuel",E269="Insurance",E269="Tools",E269="Repairs"),"Expense","Non-Deductible")))</f>
        <v/>
      </c>
    </row>
    <row r="270">
      <c r="A270" s="5" t="n">
        <v>45824</v>
      </c>
      <c r="B270" t="inlineStr">
        <is>
          <t>Other Withdrawals - Electronic Withdrawal To DISCOVER</t>
        </is>
      </c>
      <c r="C270" t="n">
        <v>1000</v>
      </c>
      <c r="D270" t="inlineStr">
        <is>
          <t>Debit</t>
        </is>
      </c>
      <c r="E270" t="inlineStr">
        <is>
          <t>Tools</t>
        </is>
      </c>
      <c r="F270">
        <f>IF(E270="Income","Revenue",IF(OR(E270="Materials",E270="Labor",E270="Dump Fees"),"COGS",IF(OR(E270="Fuel",E270="Insurance",E270="Tools",E270="Repairs"),"Expense","Non-Deductible")))</f>
        <v/>
      </c>
    </row>
    <row r="271">
      <c r="A271" s="5" t="n">
        <v>45825</v>
      </c>
      <c r="B271" t="inlineStr">
        <is>
          <t>Card Withdrawals - Debit Purchase - VISA On 061525 618-9930015 IL 7900011307</t>
        </is>
      </c>
      <c r="C271" t="n">
        <v>121.52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</row>
    <row r="272">
      <c r="A272" s="5" t="n">
        <v>45825</v>
      </c>
      <c r="B272" t="inlineStr">
        <is>
          <t>Card Withdrawals - Debit Purchase - VISA On 061525 CARTERVILLE IL 7710013407</t>
        </is>
      </c>
      <c r="C272" t="n">
        <v>93</v>
      </c>
      <c r="D272" t="inlineStr">
        <is>
          <t>Debit</t>
        </is>
      </c>
      <c r="E272" t="inlineStr">
        <is>
          <t>Tools</t>
        </is>
      </c>
      <c r="F272">
        <f>IF(E272="Income","Revenue",IF(OR(E272="Materials",E272="Labor",E272="Dump Fees"),"COGS",IF(OR(E272="Fuel",E272="Insurance",E272="Tools",E272="Repairs"),"Expense","Non-Deductible")))</f>
        <v/>
      </c>
    </row>
    <row r="273">
      <c r="A273" s="5" t="n">
        <v>45826</v>
      </c>
      <c r="B273" t="inlineStr">
        <is>
          <t>Other Withdrawals - Electronic Withdrawal To MIDLAND MTG</t>
        </is>
      </c>
      <c r="C273" t="n">
        <v>964.5599999999999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</row>
    <row r="274">
      <c r="A274" s="5" t="n">
        <v>45828</v>
      </c>
      <c r="B274" t="inlineStr">
        <is>
          <t>Card Withdrawals - Debit Purchase - VISA On 061825 freeburg IL 9102480727</t>
        </is>
      </c>
      <c r="C274" t="n">
        <v>9.67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</row>
    <row r="275">
      <c r="A275" s="5" t="n">
        <v>45828</v>
      </c>
      <c r="B275" t="inlineStr">
        <is>
          <t>Card Withdrawals - Debit Purchase CIRCLE K # 01345 CASEYVILLE IL</t>
        </is>
      </c>
      <c r="C275" t="n">
        <v>92.34</v>
      </c>
      <c r="D275" t="inlineStr">
        <is>
          <t>Debit</t>
        </is>
      </c>
      <c r="E275" t="inlineStr">
        <is>
          <t>Labor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>
        <is>
          <t>Casey</t>
        </is>
      </c>
    </row>
    <row r="276">
      <c r="A276" s="5" t="n">
        <v>45828</v>
      </c>
      <c r="B276" t="inlineStr">
        <is>
          <t>Other Withdrawals - Electronic Withdrawal To CATHOLIC CCU</t>
        </is>
      </c>
      <c r="C276" t="n">
        <v>574.5</v>
      </c>
      <c r="D276" t="inlineStr">
        <is>
          <t>Debit</t>
        </is>
      </c>
      <c r="E276" t="inlineStr">
        <is>
          <t>Tools</t>
        </is>
      </c>
      <c r="F276">
        <f>IF(E276="Income","Revenue",IF(OR(E276="Materials",E276="Labor",E276="Dump Fees"),"COGS",IF(OR(E276="Fuel",E276="Insurance",E276="Tools",E276="Repairs"),"Expense","Non-Deductible")))</f>
        <v/>
      </c>
    </row>
    <row r="277">
      <c r="A277" s="5" t="n">
        <v>45828</v>
      </c>
      <c r="B277" t="inlineStr">
        <is>
          <t>Other Withdrawals - Mobile Banking Transfer To Account 152316875235</t>
        </is>
      </c>
      <c r="C277" t="n">
        <v>100</v>
      </c>
      <c r="D277" t="inlineStr">
        <is>
          <t>Debit</t>
        </is>
      </c>
      <c r="E277" t="inlineStr">
        <is>
          <t>Transfer</t>
        </is>
      </c>
      <c r="F277">
        <f>IF(E277="Income","Revenue",IF(OR(E277="Materials",E277="Labor",E277="Dump Fees"),"COGS",IF(OR(E277="Fuel",E277="Insurance",E277="Tools",E277="Repairs"),"Expense","Non-Deductible")))</f>
        <v/>
      </c>
    </row>
    <row r="278">
      <c r="A278" s="5" t="n">
        <v>45828</v>
      </c>
      <c r="B278" t="inlineStr">
        <is>
          <t>Other Withdrawals - Mobile Banking Transfer To Account 152316875235</t>
        </is>
      </c>
      <c r="C278" t="n">
        <v>250</v>
      </c>
      <c r="D278" t="inlineStr">
        <is>
          <t>Debit</t>
        </is>
      </c>
      <c r="E278" t="inlineStr">
        <is>
          <t>Transfer</t>
        </is>
      </c>
      <c r="F278">
        <f>IF(E278="Income","Revenue",IF(OR(E278="Materials",E278="Labor",E278="Dump Fees"),"COGS",IF(OR(E278="Fuel",E278="Insurance",E278="Tools",E278="Repairs"),"Expense","Non-Deductible")))</f>
        <v/>
      </c>
    </row>
    <row r="279">
      <c r="A279" s="5" t="n">
        <v>45828</v>
      </c>
      <c r="B279" t="inlineStr">
        <is>
          <t>Other Withdrawals - Mobile Banking Transfer To Account 152316875235</t>
        </is>
      </c>
      <c r="C279" t="n">
        <v>1000</v>
      </c>
      <c r="D279" t="inlineStr">
        <is>
          <t>Debit</t>
        </is>
      </c>
      <c r="E279" t="inlineStr">
        <is>
          <t>Transfer</t>
        </is>
      </c>
      <c r="F279">
        <f>IF(E279="Income","Revenue",IF(OR(E279="Materials",E279="Labor",E279="Dump Fees"),"COGS",IF(OR(E279="Fuel",E279="Insurance",E279="Tools",E279="Repairs"),"Expense","Non-Deductible")))</f>
        <v/>
      </c>
    </row>
    <row r="280">
      <c r="A280" s="5" t="n">
        <v>45831</v>
      </c>
      <c r="B280" t="inlineStr">
        <is>
          <t>Card Withdrawals - ATM Withdrawal 201 E MAIN ST CARBONDALE IL</t>
        </is>
      </c>
      <c r="C280" t="n">
        <v>33</v>
      </c>
      <c r="D280" t="inlineStr">
        <is>
          <t>Debit</t>
        </is>
      </c>
      <c r="E280" t="inlineStr">
        <is>
          <t>Tools</t>
        </is>
      </c>
      <c r="F280">
        <f>IF(E280="Income","Revenue",IF(OR(E280="Materials",E280="Labor",E280="Dump Fees"),"COGS",IF(OR(E280="Fuel",E280="Insurance",E280="Tools",E280="Repairs"),"Expense","Non-Deductible")))</f>
        <v/>
      </c>
    </row>
    <row r="281">
      <c r="A281" s="5" t="n">
        <v>45831</v>
      </c>
      <c r="B281" t="inlineStr">
        <is>
          <t>Card Withdrawals - ATM Withdrawal 943 N MAIN ST MARISSA IL</t>
        </is>
      </c>
      <c r="C281" t="n">
        <v>43.25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</row>
    <row r="282">
      <c r="A282" s="5" t="n">
        <v>45831</v>
      </c>
      <c r="B282" t="inlineStr">
        <is>
          <t>Card Withdrawals - Debit Purchase - VISA On 062025 Freeburg IL 1101420999</t>
        </is>
      </c>
      <c r="C282" t="n">
        <v>72</v>
      </c>
      <c r="D282" t="inlineStr">
        <is>
          <t>Debit</t>
        </is>
      </c>
      <c r="E282" t="inlineStr">
        <is>
          <t>Tools</t>
        </is>
      </c>
      <c r="F282">
        <f>IF(E282="Income","Revenue",IF(OR(E282="Materials",E282="Labor",E282="Dump Fees"),"COGS",IF(OR(E282="Fuel",E282="Insurance",E282="Tools",E282="Repairs"),"Expense","Non-Deductible")))</f>
        <v/>
      </c>
    </row>
    <row r="283">
      <c r="A283" s="5" t="n">
        <v>45831</v>
      </c>
      <c r="B283" t="inlineStr">
        <is>
          <t>Card Withdrawals - Debit Purchase - VISA On 062125 COULTERVILLE IL 3900018932</t>
        </is>
      </c>
      <c r="C283" t="n">
        <v>76.52</v>
      </c>
      <c r="D283" t="inlineStr">
        <is>
          <t>Debit</t>
        </is>
      </c>
      <c r="E283" t="inlineStr">
        <is>
          <t>Tools</t>
        </is>
      </c>
      <c r="F283">
        <f>IF(E283="Income","Revenue",IF(OR(E283="Materials",E283="Labor",E283="Dump Fees"),"COGS",IF(OR(E283="Fuel",E283="Insurance",E283="Tools",E283="Repairs"),"Expense","Non-Deductible")))</f>
        <v/>
      </c>
    </row>
    <row r="284">
      <c r="A284" s="5" t="n">
        <v>45831</v>
      </c>
      <c r="B284" t="inlineStr">
        <is>
          <t>Card Withdrawals - Fee ATM Withdrawal At Other Network 2300000486 $</t>
        </is>
      </c>
      <c r="C284" t="n">
        <v>3</v>
      </c>
      <c r="D284" t="inlineStr">
        <is>
          <t>Debit</t>
        </is>
      </c>
      <c r="E284" t="inlineStr">
        <is>
          <t>Tools</t>
        </is>
      </c>
      <c r="F284">
        <f>IF(E284="Income","Revenue",IF(OR(E284="Materials",E284="Labor",E284="Dump Fees"),"COGS",IF(OR(E284="Fuel",E284="Insurance",E284="Tools",E284="Repairs"),"Expense","Non-Deductible")))</f>
        <v/>
      </c>
    </row>
    <row r="285">
      <c r="A285" s="5" t="n">
        <v>45831</v>
      </c>
      <c r="B285" t="inlineStr">
        <is>
          <t>Card Withdrawals - Fee ATM Withdrawal At Other Network 2300000487</t>
        </is>
      </c>
      <c r="C285" t="n">
        <v>3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</row>
    <row r="286">
      <c r="A286" s="5" t="n">
        <v>45831</v>
      </c>
      <c r="B286" t="inlineStr">
        <is>
          <t>Other Withdrawals - Customer Withdrawal 8014668858</t>
        </is>
      </c>
      <c r="C286" t="n">
        <v>300</v>
      </c>
      <c r="D286" t="inlineStr">
        <is>
          <t>Debit</t>
        </is>
      </c>
      <c r="E286" t="inlineStr">
        <is>
          <t>Tools</t>
        </is>
      </c>
      <c r="F286">
        <f>IF(E286="Income","Revenue",IF(OR(E286="Materials",E286="Labor",E286="Dump Fees"),"COGS",IF(OR(E286="Fuel",E286="Insurance",E286="Tools",E286="Repairs"),"Expense","Non-Deductible")))</f>
        <v/>
      </c>
    </row>
    <row r="287">
      <c r="A287" s="5" t="n">
        <v>45833</v>
      </c>
      <c r="B287" t="inlineStr">
        <is>
          <t>Card Withdrawals - Debit Purchase BP#1735700ARENA BELLEVILLE IL</t>
        </is>
      </c>
      <c r="C287" t="n">
        <v>99.09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</row>
    <row r="288">
      <c r="A288" s="5" t="n">
        <v>45833</v>
      </c>
      <c r="B288" t="inlineStr">
        <is>
          <t>Card Withdrawals - Debit Purchase CIRCLE K # 01347 BELLEVILLE IL</t>
        </is>
      </c>
      <c r="C288" t="n">
        <v>0.27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</row>
    <row r="289">
      <c r="A289" s="5" t="n">
        <v>45833</v>
      </c>
      <c r="B289" t="inlineStr">
        <is>
          <t>Other Deposits - Mobile Banking Transfer From Account 152316874980</t>
        </is>
      </c>
      <c r="C289" t="n">
        <v>275</v>
      </c>
      <c r="D289" t="inlineStr">
        <is>
          <t>Credit</t>
        </is>
      </c>
      <c r="E289" t="inlineStr">
        <is>
          <t>Transfer</t>
        </is>
      </c>
      <c r="F289">
        <f>IF(E289="Income","Revenue",IF(OR(E289="Materials",E289="Labor",E289="Dump Fees"),"COGS",IF(OR(E289="Fuel",E289="Insurance",E289="Tools",E289="Repairs"),"Expense","Non-Deductible")))</f>
        <v/>
      </c>
    </row>
    <row r="290">
      <c r="A290" s="5" t="n">
        <v>45833</v>
      </c>
      <c r="B290" t="inlineStr">
        <is>
          <t>Other Deposits - Mobile Check Deposit 8612808536</t>
        </is>
      </c>
      <c r="C290" t="n">
        <v>200</v>
      </c>
      <c r="D290" t="inlineStr">
        <is>
          <t>Credit</t>
        </is>
      </c>
      <c r="E290" t="inlineStr">
        <is>
          <t>Income</t>
        </is>
      </c>
      <c r="F290">
        <f>IF(E290="Income","Revenue",IF(OR(E290="Materials",E290="Labor",E290="Dump Fees"),"COGS",IF(OR(E290="Fuel",E290="Insurance",E290="Tools",E290="Repairs"),"Expense","Non-Deductible")))</f>
        <v/>
      </c>
    </row>
    <row r="291">
      <c r="A291" s="5" t="n">
        <v>45834</v>
      </c>
      <c r="B291" t="inlineStr">
        <is>
          <t>Card Withdrawals - Debit Purchase - VISA On 062525 BELLEVILLE IL 6385642499</t>
        </is>
      </c>
      <c r="C291" t="n">
        <v>20.65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</row>
    <row r="292">
      <c r="A292" s="5" t="n">
        <v>45834</v>
      </c>
      <c r="B292" t="inlineStr">
        <is>
          <t>Card Withdrawals - Recurring Debit Purchase On 062425 800-288-2020 TX 7106069140</t>
        </is>
      </c>
      <c r="C292" t="n">
        <v>124.67</v>
      </c>
      <c r="D292" t="inlineStr">
        <is>
          <t>Debit</t>
        </is>
      </c>
      <c r="E292" t="inlineStr">
        <is>
          <t>Tools</t>
        </is>
      </c>
      <c r="F292">
        <f>IF(E292="Income","Revenue",IF(OR(E292="Materials",E292="Labor",E292="Dump Fees"),"COGS",IF(OR(E292="Fuel",E292="Insurance",E292="Tools",E292="Repairs"),"Expense","Non-Deductible")))</f>
        <v/>
      </c>
    </row>
    <row r="293">
      <c r="A293" s="5" t="n">
        <v>45834</v>
      </c>
      <c r="B293" t="inlineStr">
        <is>
          <t>Card Withdrawals - Recurring Debit Purchase On 062525 888-270-2644 IN 7106113836</t>
        </is>
      </c>
      <c r="C293" t="n">
        <v>817.5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</row>
    <row r="294">
      <c r="A294" s="5" t="n">
        <v>45834</v>
      </c>
      <c r="B294" t="inlineStr">
        <is>
          <t>Other Deposits - Mobile Banking Transfer From Account 152316874980</t>
        </is>
      </c>
      <c r="C294" t="n">
        <v>480</v>
      </c>
      <c r="D294" t="inlineStr">
        <is>
          <t>Credit</t>
        </is>
      </c>
      <c r="E294" t="inlineStr">
        <is>
          <t>Transfer</t>
        </is>
      </c>
      <c r="F294">
        <f>IF(E294="Income","Revenue",IF(OR(E294="Materials",E294="Labor",E294="Dump Fees"),"COGS",IF(OR(E294="Fuel",E294="Insurance",E294="Tools",E294="Repairs"),"Expense","Non-Deductible")))</f>
        <v/>
      </c>
    </row>
    <row r="295">
      <c r="A295" s="5" t="n">
        <v>45834</v>
      </c>
      <c r="B295" t="inlineStr">
        <is>
          <t>Other Deposits - Mobile Check Deposit 8913423413</t>
        </is>
      </c>
      <c r="C295" t="n">
        <v>4500</v>
      </c>
      <c r="D295" t="inlineStr">
        <is>
          <t>Credit</t>
        </is>
      </c>
      <c r="E295" t="inlineStr">
        <is>
          <t>Income</t>
        </is>
      </c>
      <c r="F295">
        <f>IF(E295="Income","Revenue",IF(OR(E295="Materials",E295="Labor",E295="Dump Fees"),"COGS",IF(OR(E295="Fuel",E295="Insurance",E295="Tools",E295="Repairs"),"Expense","Non-Deductible")))</f>
        <v/>
      </c>
    </row>
    <row r="296">
      <c r="A296" s="5" t="n">
        <v>45835</v>
      </c>
      <c r="B296" t="inlineStr">
        <is>
          <t>Card Withdrawals - Debit Purchase - VISA On 062625 BELLEVILLE IL 7005291363</t>
        </is>
      </c>
      <c r="C296" t="n">
        <v>35.32</v>
      </c>
      <c r="D296" t="inlineStr">
        <is>
          <t>Debit</t>
        </is>
      </c>
      <c r="E296" t="inlineStr">
        <is>
          <t>Tools</t>
        </is>
      </c>
      <c r="F296">
        <f>IF(E296="Income","Revenue",IF(OR(E296="Materials",E296="Labor",E296="Dump Fees"),"COGS",IF(OR(E296="Fuel",E296="Insurance",E296="Tools",E296="Repairs"),"Expense","Non-Deductible")))</f>
        <v/>
      </c>
    </row>
    <row r="297">
      <c r="A297" s="5" t="n">
        <v>45835</v>
      </c>
      <c r="B297" t="inlineStr">
        <is>
          <t>Other Withdrawals - Mobile Banking Transfer To Account 152316875235</t>
        </is>
      </c>
      <c r="C297" t="n">
        <v>600</v>
      </c>
      <c r="D297" t="inlineStr">
        <is>
          <t>Debit</t>
        </is>
      </c>
      <c r="E297" t="inlineStr">
        <is>
          <t>Transfer</t>
        </is>
      </c>
      <c r="F297">
        <f>IF(E297="Income","Revenue",IF(OR(E297="Materials",E297="Labor",E297="Dump Fees"),"COGS",IF(OR(E297="Fuel",E297="Insurance",E297="Tools",E297="Repairs"),"Expense","Non-Deductible")))</f>
        <v/>
      </c>
    </row>
    <row r="298">
      <c r="A298" s="5" t="n">
        <v>45835</v>
      </c>
      <c r="B298" t="inlineStr">
        <is>
          <t>Other Withdrawals - Zelle Instant PMT To Brian Davis</t>
        </is>
      </c>
      <c r="C298" t="n">
        <v>1400</v>
      </c>
      <c r="D298" t="inlineStr">
        <is>
          <t>Debit</t>
        </is>
      </c>
      <c r="E298" t="inlineStr">
        <is>
          <t>Labor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>
        <is>
          <t>Bryan</t>
        </is>
      </c>
    </row>
    <row r="299">
      <c r="A299" s="5" t="n">
        <v>45835</v>
      </c>
      <c r="B299" t="inlineStr">
        <is>
          <t>Other Withdrawals - Zelle Instant PMT To Casey Williamson</t>
        </is>
      </c>
      <c r="C299" t="n">
        <v>640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>
        <is>
          <t>Casey</t>
        </is>
      </c>
    </row>
    <row r="300">
      <c r="A300" s="5" t="n">
        <v>45838</v>
      </c>
      <c r="B300" t="inlineStr">
        <is>
          <t>Card Withdrawals - ATM Withdrawal 437 EDWARDSVILLE TROY IL</t>
        </is>
      </c>
      <c r="C300" t="n">
        <v>203.25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</row>
    <row r="301">
      <c r="A301" s="5" t="n">
        <v>45838</v>
      </c>
      <c r="B301" t="inlineStr">
        <is>
          <t>Card Withdrawals - Debit Purchase CASEYS #3252 129 NEW ATHENS IL 7506291915</t>
        </is>
      </c>
      <c r="C301" t="n">
        <v>15.56</v>
      </c>
      <c r="D301" t="inlineStr">
        <is>
          <t>Debit</t>
        </is>
      </c>
      <c r="E301" t="inlineStr">
        <is>
          <t>Labor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>
        <is>
          <t>Casey</t>
        </is>
      </c>
    </row>
    <row r="302">
      <c r="A302" s="5" t="n">
        <v>45838</v>
      </c>
      <c r="B302" t="inlineStr">
        <is>
          <t>Card Withdrawals - Debit Purchase MILLSTADT IGA MILLSTADT IL 4706301328</t>
        </is>
      </c>
      <c r="C302" t="n">
        <v>70.12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</row>
    <row r="303">
      <c r="A303" s="5" t="n">
        <v>45838</v>
      </c>
      <c r="B303" t="inlineStr">
        <is>
          <t>Card Withdrawals - Fee ATM Withdrawal At Other Network 3000000438</t>
        </is>
      </c>
      <c r="C303" t="n">
        <v>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</row>
    <row r="304">
      <c r="A304" s="5" t="n">
        <v>45839</v>
      </c>
      <c r="B304" t="inlineStr">
        <is>
          <t>Card Withdrawals - Debit Purchase - VISA On 062925 NEW ATHENS IL 1300667218</t>
        </is>
      </c>
      <c r="C304" t="n">
        <v>92.05</v>
      </c>
      <c r="D304" t="inlineStr">
        <is>
          <t>Debit</t>
        </is>
      </c>
      <c r="E304" t="inlineStr">
        <is>
          <t>Tools</t>
        </is>
      </c>
      <c r="F304">
        <f>IF(E304="Income","Revenue",IF(OR(E304="Materials",E304="Labor",E304="Dump Fees"),"COGS",IF(OR(E304="Fuel",E304="Insurance",E304="Tools",E304="Repairs"),"Expense","Non-Deductible")))</f>
        <v/>
      </c>
    </row>
    <row r="305">
      <c r="A305" s="5" t="n">
        <v>45839</v>
      </c>
      <c r="B305" t="inlineStr">
        <is>
          <t>Card Withdrawals - Debit Purchase BP#17263004-0 Q TROY IL $</t>
        </is>
      </c>
      <c r="C305" t="n">
        <v>58.95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</row>
    <row r="306">
      <c r="A306" s="5" t="n">
        <v>45840</v>
      </c>
      <c r="B306" t="inlineStr">
        <is>
          <t>Other Withdrawals - Mobile Banking Payment To Credit Card *************3424 $</t>
        </is>
      </c>
      <c r="C306" t="n">
        <v>143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</row>
    <row r="307">
      <c r="A307" s="5" t="n">
        <v>45841</v>
      </c>
      <c r="B307" t="inlineStr">
        <is>
          <t>Card Withdrawals - Debit Purchase - VISA On 070125 NEW BADEN IL 3393059601</t>
        </is>
      </c>
      <c r="C307" t="n">
        <v>13.68</v>
      </c>
      <c r="D307" t="inlineStr">
        <is>
          <t>Debit</t>
        </is>
      </c>
      <c r="E307" t="inlineStr">
        <is>
          <t>Tools</t>
        </is>
      </c>
      <c r="F307">
        <f>IF(E307="Income","Revenue",IF(OR(E307="Materials",E307="Labor",E307="Dump Fees"),"COGS",IF(OR(E307="Fuel",E307="Insurance",E307="Tools",E307="Repairs"),"Expense","Non-Deductible")))</f>
        <v/>
      </c>
    </row>
    <row r="308">
      <c r="A308" s="5" t="n">
        <v>45841</v>
      </c>
      <c r="B308" t="inlineStr">
        <is>
          <t>Card Withdrawals - Debit Purchase - VISA On 070225 New Athens IL 4102458955</t>
        </is>
      </c>
      <c r="C308" t="n">
        <v>29.1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</row>
    <row r="309">
      <c r="A309" s="5" t="n">
        <v>45841</v>
      </c>
      <c r="B309" t="inlineStr">
        <is>
          <t>Card Withdrawals - Debit Purchase DOLLAR-GENERAL # FREEBURG IL 9907031526</t>
        </is>
      </c>
      <c r="C309" t="n">
        <v>57.4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</row>
    <row r="310">
      <c r="A310" s="5" t="n">
        <v>45841</v>
      </c>
      <c r="B310" t="inlineStr">
        <is>
          <t>Card Withdrawals - Debit Purchase MOTOMART FREEBURG IL</t>
        </is>
      </c>
      <c r="C310" t="n">
        <v>20.94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</row>
    <row r="311">
      <c r="A311" s="5" t="n">
        <v>45841</v>
      </c>
      <c r="B311" t="inlineStr">
        <is>
          <t>Card Withdrawals - Debit Purchase MOTOMART FREEBURG IL</t>
        </is>
      </c>
      <c r="C311" t="n">
        <v>87.08</v>
      </c>
      <c r="D311" t="inlineStr">
        <is>
          <t>Debit</t>
        </is>
      </c>
      <c r="E311" t="inlineStr">
        <is>
          <t>Tools</t>
        </is>
      </c>
      <c r="F311">
        <f>IF(E311="Income","Revenue",IF(OR(E311="Materials",E311="Labor",E311="Dump Fees"),"COGS",IF(OR(E311="Fuel",E311="Insurance",E311="Tools",E311="Repairs"),"Expense","Non-Deductible")))</f>
        <v/>
      </c>
    </row>
    <row r="312">
      <c r="A312" s="5" t="n">
        <v>45841</v>
      </c>
      <c r="B312" t="inlineStr">
        <is>
          <t>Card Withdrawals - Recurring Debit Purchase On 070225 800-956-6310 IL 3238232725</t>
        </is>
      </c>
      <c r="C312" t="n">
        <v>328.77</v>
      </c>
      <c r="D312" t="inlineStr">
        <is>
          <t>Debit</t>
        </is>
      </c>
      <c r="E312" t="inlineStr">
        <is>
          <t>Tools</t>
        </is>
      </c>
      <c r="F312">
        <f>IF(E312="Income","Revenue",IF(OR(E312="Materials",E312="Labor",E312="Dump Fees"),"COGS",IF(OR(E312="Fuel",E312="Insurance",E312="Tools",E312="Repairs"),"Expense","Non-Deductible")))</f>
        <v/>
      </c>
    </row>
    <row r="313">
      <c r="A313" s="5" t="n">
        <v>45845</v>
      </c>
      <c r="B313" t="inlineStr">
        <is>
          <t>Card Withdrawals - Debit Purchase - VISA On 070325 BELLEVILLE IL 5395567156</t>
        </is>
      </c>
      <c r="C313" t="n">
        <v>13.95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</row>
    <row r="314">
      <c r="A314" s="5" t="n">
        <v>45845</v>
      </c>
      <c r="B314" t="inlineStr">
        <is>
          <t>Card Withdrawals - Debit Purchase - VISA On 070525 COULTERVILLE IL 7900010273</t>
        </is>
      </c>
      <c r="C314" t="n">
        <v>38.25</v>
      </c>
      <c r="D314" t="inlineStr">
        <is>
          <t>Debit</t>
        </is>
      </c>
      <c r="E314" t="inlineStr">
        <is>
          <t>Tools</t>
        </is>
      </c>
      <c r="F314">
        <f>IF(E314="Income","Revenue",IF(OR(E314="Materials",E314="Labor",E314="Dump Fees"),"COGS",IF(OR(E314="Fuel",E314="Insurance",E314="Tools",E314="Repairs"),"Expense","Non-Deductible")))</f>
        <v/>
      </c>
    </row>
    <row r="315">
      <c r="A315" s="5" t="n">
        <v>45845</v>
      </c>
      <c r="B315" t="inlineStr">
        <is>
          <t>Card Withdrawals - Debit Purchase - VISA On 070525 FREEBURG IL 6720243407</t>
        </is>
      </c>
      <c r="C315" t="n">
        <v>21.07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</row>
    <row r="316">
      <c r="A316" s="5" t="n">
        <v>45845</v>
      </c>
      <c r="B316" t="inlineStr">
        <is>
          <t>Other Withdrawals - Mobile Banking Transfer To Account 152316874980</t>
        </is>
      </c>
      <c r="C316" t="n">
        <v>34</v>
      </c>
      <c r="D316" t="inlineStr">
        <is>
          <t>Debit</t>
        </is>
      </c>
      <c r="E316" t="inlineStr">
        <is>
          <t>Transfer</t>
        </is>
      </c>
      <c r="F316">
        <f>IF(E316="Income","Revenue",IF(OR(E316="Materials",E316="Labor",E316="Dump Fees"),"COGS",IF(OR(E316="Fuel",E316="Insurance",E316="Tools",E316="Repairs"),"Expense","Non-Deductible")))</f>
        <v/>
      </c>
    </row>
    <row r="317">
      <c r="A317" s="5" t="n">
        <v>45845</v>
      </c>
      <c r="B317" t="inlineStr">
        <is>
          <t>Other Withdrawals - Zelle Instant PMT To Brian Davis</t>
        </is>
      </c>
      <c r="C317" t="n">
        <v>1100</v>
      </c>
      <c r="D317" t="inlineStr">
        <is>
          <t>Debit</t>
        </is>
      </c>
      <c r="E317" t="inlineStr">
        <is>
          <t>Labor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>
        <is>
          <t>Bryan</t>
        </is>
      </c>
    </row>
    <row r="318">
      <c r="A318" s="5" t="n">
        <v>45845</v>
      </c>
      <c r="B318" t="inlineStr">
        <is>
          <t>Other Withdrawals - Zelle Instant PMT To Casey Williamson</t>
        </is>
      </c>
      <c r="C318" t="n">
        <v>425</v>
      </c>
      <c r="D318" t="inlineStr">
        <is>
          <t>Debit</t>
        </is>
      </c>
      <c r="E318" t="inlineStr">
        <is>
          <t>Labor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>
        <is>
          <t>Casey</t>
        </is>
      </c>
    </row>
    <row r="319">
      <c r="A319" s="5" t="n">
        <v>45845</v>
      </c>
      <c r="B319" t="inlineStr">
        <is>
          <t>Other Withdrawals - Zelle Instant PMT To Nadia Session</t>
        </is>
      </c>
      <c r="C319" t="n">
        <v>245</v>
      </c>
      <c r="D319" t="inlineStr">
        <is>
          <t>Debit</t>
        </is>
      </c>
      <c r="E319" t="inlineStr">
        <is>
          <t>Tools</t>
        </is>
      </c>
      <c r="F319">
        <f>IF(E319="Income","Revenue",IF(OR(E319="Materials",E319="Labor",E319="Dump Fees"),"COGS",IF(OR(E319="Fuel",E319="Insurance",E319="Tools",E319="Repairs"),"Expense","Non-Deductible")))</f>
        <v/>
      </c>
    </row>
    <row r="320">
      <c r="A320" s="5" t="n">
        <v>45846</v>
      </c>
      <c r="B320" t="inlineStr">
        <is>
          <t>Card Withdrawals - Debit Purchase - VISA On 070725 BELLEVILLE IL 9001111107</t>
        </is>
      </c>
      <c r="C320" t="n">
        <v>21.46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</row>
    <row r="321">
      <c r="A321" s="5" t="n">
        <v>45846</v>
      </c>
      <c r="B321" t="inlineStr">
        <is>
          <t>Card Withdrawals - Debit Purchase DOLLAR-GENERAL # FREEBURG IL 0607071935</t>
        </is>
      </c>
      <c r="C321" t="n">
        <v>87.34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</row>
    <row r="322">
      <c r="A322" s="5" t="n">
        <v>45846</v>
      </c>
      <c r="B322" t="inlineStr">
        <is>
          <t>Other Withdrawals - Electronic Withdrawal To CEFCU TEL DEBIT</t>
        </is>
      </c>
      <c r="C322" t="n">
        <v>1042.46</v>
      </c>
      <c r="D322" t="inlineStr">
        <is>
          <t>Debit</t>
        </is>
      </c>
      <c r="E322" t="inlineStr">
        <is>
          <t>Tools</t>
        </is>
      </c>
      <c r="F322">
        <f>IF(E322="Income","Revenue",IF(OR(E322="Materials",E322="Labor",E322="Dump Fees"),"COGS",IF(OR(E322="Fuel",E322="Insurance",E322="Tools",E322="Repairs"),"Expense","Non-Deductible")))</f>
        <v/>
      </c>
    </row>
    <row r="323">
      <c r="A323" s="5" t="n">
        <v>45847</v>
      </c>
      <c r="B323" t="inlineStr">
        <is>
          <t>Card Withdrawals - Debit Purchase - VISA On 070825 BELLEVILLE IL 9001647062</t>
        </is>
      </c>
      <c r="C323" t="n">
        <v>4.21</v>
      </c>
      <c r="D323" t="inlineStr">
        <is>
          <t>Debit</t>
        </is>
      </c>
      <c r="E323" t="inlineStr">
        <is>
          <t>Tools</t>
        </is>
      </c>
      <c r="F323">
        <f>IF(E323="Income","Revenue",IF(OR(E323="Materials",E323="Labor",E323="Dump Fees"),"COGS",IF(OR(E323="Fuel",E323="Insurance",E323="Tools",E323="Repairs"),"Expense","Non-Deductible")))</f>
        <v/>
      </c>
    </row>
    <row r="324">
      <c r="A324" s="5" t="n">
        <v>45847</v>
      </c>
      <c r="B324" t="inlineStr">
        <is>
          <t>Card Withdrawals - Debit Purchase - VISA On 070825 BELLEVILLE IL 9018202101</t>
        </is>
      </c>
      <c r="C324" t="n">
        <v>50</v>
      </c>
      <c r="D324" t="inlineStr">
        <is>
          <t>Debit</t>
        </is>
      </c>
      <c r="E324" t="inlineStr">
        <is>
          <t>Tools</t>
        </is>
      </c>
      <c r="F324">
        <f>IF(E324="Income","Revenue",IF(OR(E324="Materials",E324="Labor",E324="Dump Fees"),"COGS",IF(OR(E324="Fuel",E324="Insurance",E324="Tools",E324="Repairs"),"Expense","Non-Deductible")))</f>
        <v/>
      </c>
    </row>
    <row r="325">
      <c r="A325" s="5" t="n">
        <v>45847</v>
      </c>
      <c r="B325" t="inlineStr">
        <is>
          <t>Card Withdrawals - Debit Purchase - VISA On 070825 BELLEVILLE IL 9720245401</t>
        </is>
      </c>
      <c r="C325" t="n">
        <v>2.04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</row>
    <row r="326">
      <c r="A326" s="5" t="n">
        <v>45847</v>
      </c>
      <c r="B326" t="inlineStr">
        <is>
          <t>Card Withdrawals - Debit Purchase - VISA On 070825 BELLEVILLE IL 9900012800</t>
        </is>
      </c>
      <c r="C326" t="n">
        <v>75.87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</row>
    <row r="327">
      <c r="A327" s="5" t="n">
        <v>45847</v>
      </c>
      <c r="B327" t="inlineStr">
        <is>
          <t>Card Withdrawals - Debit Purchase - VISA On 070825 NEW ATHENS IL 9300712625</t>
        </is>
      </c>
      <c r="C327" t="n">
        <v>36.61</v>
      </c>
      <c r="D327" t="inlineStr">
        <is>
          <t>Debit</t>
        </is>
      </c>
      <c r="E327" t="inlineStr">
        <is>
          <t>Tools</t>
        </is>
      </c>
      <c r="F327">
        <f>IF(E327="Income","Revenue",IF(OR(E327="Materials",E327="Labor",E327="Dump Fees"),"COGS",IF(OR(E327="Fuel",E327="Insurance",E327="Tools",E327="Repairs"),"Expense","Non-Deductible")))</f>
        <v/>
      </c>
    </row>
    <row r="328">
      <c r="A328" s="5" t="n">
        <v>45847</v>
      </c>
      <c r="B328" t="inlineStr">
        <is>
          <t>Other Withdrawals - Zelle Instant PMT To Tabitha Session</t>
        </is>
      </c>
      <c r="C328" t="n">
        <v>239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</row>
    <row r="329">
      <c r="A329" s="5" t="n">
        <v>45848</v>
      </c>
      <c r="B329" t="inlineStr">
        <is>
          <t>Card Withdrawals - Debit Purchase - VISA On 070925 FREEBURG IL 0720246535</t>
        </is>
      </c>
      <c r="C329" t="n">
        <v>4.14</v>
      </c>
      <c r="D329" t="inlineStr">
        <is>
          <t>Debit</t>
        </is>
      </c>
      <c r="E329" t="inlineStr">
        <is>
          <t>Tools</t>
        </is>
      </c>
      <c r="F329">
        <f>IF(E329="Income","Revenue",IF(OR(E329="Materials",E329="Labor",E329="Dump Fees"),"COGS",IF(OR(E329="Fuel",E329="Insurance",E329="Tools",E329="Repairs"),"Expense","Non-Deductible")))</f>
        <v/>
      </c>
    </row>
    <row r="330">
      <c r="A330" s="5" t="n">
        <v>45848</v>
      </c>
      <c r="B330" t="inlineStr">
        <is>
          <t>Card Withdrawals - Debit Purchase - VISA On 070925 NEW ATHENS IL 0900016131</t>
        </is>
      </c>
      <c r="C330" t="n">
        <v>42.45</v>
      </c>
      <c r="D330" t="inlineStr">
        <is>
          <t>Debit</t>
        </is>
      </c>
      <c r="E330" t="inlineStr">
        <is>
          <t>Tools</t>
        </is>
      </c>
      <c r="F330">
        <f>IF(E330="Income","Revenue",IF(OR(E330="Materials",E330="Labor",E330="Dump Fees"),"COGS",IF(OR(E330="Fuel",E330="Insurance",E330="Tools",E330="Repairs"),"Expense","Non-Deductible")))</f>
        <v/>
      </c>
    </row>
    <row r="331">
      <c r="A331" s="5" t="n">
        <v>45848</v>
      </c>
      <c r="B331" t="inlineStr">
        <is>
          <t>Card Withdrawals - Debit Purchase USPS PO 16290405 FREEBURG IL 8807101245</t>
        </is>
      </c>
      <c r="C331" t="n">
        <v>0.73</v>
      </c>
      <c r="D331" t="inlineStr">
        <is>
          <t>Debit</t>
        </is>
      </c>
      <c r="E331" t="inlineStr">
        <is>
          <t>Tools</t>
        </is>
      </c>
      <c r="F331">
        <f>IF(E331="Income","Revenue",IF(OR(E331="Materials",E331="Labor",E331="Dump Fees"),"COGS",IF(OR(E331="Fuel",E331="Insurance",E331="Tools",E331="Repairs"),"Expense","Non-Deductible")))</f>
        <v/>
      </c>
    </row>
    <row r="332">
      <c r="A332" s="5" t="n">
        <v>45848</v>
      </c>
      <c r="B332" t="inlineStr">
        <is>
          <t>Other Deposits - Mobile Check Deposit 8911675733 $</t>
        </is>
      </c>
      <c r="C332" t="n">
        <v>7747</v>
      </c>
      <c r="D332" t="inlineStr">
        <is>
          <t>Credit</t>
        </is>
      </c>
      <c r="E332" t="inlineStr">
        <is>
          <t>Income</t>
        </is>
      </c>
      <c r="F332">
        <f>IF(E332="Income","Revenue",IF(OR(E332="Materials",E332="Labor",E332="Dump Fees"),"COGS",IF(OR(E332="Fuel",E332="Insurance",E332="Tools",E332="Repairs"),"Expense","Non-Deductible")))</f>
        <v/>
      </c>
    </row>
    <row r="333">
      <c r="A333" s="5" t="n">
        <v>45849</v>
      </c>
      <c r="B333" t="inlineStr">
        <is>
          <t>Card Withdrawals - Debit Purchase - VISA On 070925 BELLEVILLE IL 1109127181</t>
        </is>
      </c>
      <c r="C333" t="n">
        <v>14.17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</row>
    <row r="334">
      <c r="A334" s="5" t="n">
        <v>45849</v>
      </c>
      <c r="B334" t="inlineStr">
        <is>
          <t>Other Withdrawals - Electronic Withdrawal To MIDLAND MTG</t>
        </is>
      </c>
      <c r="C334" t="n">
        <v>964.5599999999999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</row>
    <row r="335">
      <c r="A335" s="5" t="n">
        <v>45849</v>
      </c>
      <c r="B335" t="inlineStr">
        <is>
          <t>Other Withdrawals - Zelle Instant PMT To Brian Davis</t>
        </is>
      </c>
      <c r="C335" t="n">
        <v>1300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>
        <is>
          <t>Bryan</t>
        </is>
      </c>
    </row>
    <row r="336">
      <c r="A336" s="5" t="n">
        <v>45849</v>
      </c>
      <c r="B336" t="inlineStr">
        <is>
          <t>Other Withdrawals - Zelle Instant PMT To Casey Williamson</t>
        </is>
      </c>
      <c r="C336" t="n">
        <v>725</v>
      </c>
      <c r="D336" t="inlineStr">
        <is>
          <t>Debit</t>
        </is>
      </c>
      <c r="E336" t="inlineStr">
        <is>
          <t>Labor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>
        <is>
          <t>Casey</t>
        </is>
      </c>
    </row>
    <row r="337">
      <c r="A337" s="5" t="n">
        <v>45852</v>
      </c>
      <c r="B337" t="inlineStr">
        <is>
          <t>Card Withdrawals - Debit Purchase - VISA On 071025 618-2572410 IL 2045103522</t>
        </is>
      </c>
      <c r="C337" t="n">
        <v>41.37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</row>
    <row r="338">
      <c r="A338" s="5" t="n">
        <v>45852</v>
      </c>
      <c r="B338" t="inlineStr">
        <is>
          <t>Card Withdrawals - Debit Purchase - VISA On 071025 BELLEVILLE IL 2100429130</t>
        </is>
      </c>
      <c r="C338" t="n">
        <v>14.6</v>
      </c>
      <c r="D338" t="inlineStr">
        <is>
          <t>Debit</t>
        </is>
      </c>
      <c r="E338" t="inlineStr">
        <is>
          <t>Tools</t>
        </is>
      </c>
      <c r="F338">
        <f>IF(E338="Income","Revenue",IF(OR(E338="Materials",E338="Labor",E338="Dump Fees"),"COGS",IF(OR(E338="Fuel",E338="Insurance",E338="Tools",E338="Repairs"),"Expense","Non-Deductible")))</f>
        <v/>
      </c>
    </row>
    <row r="339">
      <c r="A339" s="5" t="n">
        <v>45852</v>
      </c>
      <c r="B339" t="inlineStr">
        <is>
          <t>Card Withdrawals - Debit Purchase - VISA On 071025 FAIRVIEW HEI IL 3101124536</t>
        </is>
      </c>
      <c r="C339" t="n">
        <v>25.99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</row>
    <row r="340">
      <c r="A340" s="5" t="n">
        <v>45852</v>
      </c>
      <c r="B340" t="inlineStr">
        <is>
          <t>Card Withdrawals - Debit Purchase - VISA On 071025 FAIRVIEW HEI IL 3404596959</t>
        </is>
      </c>
      <c r="C340" t="n">
        <v>63</v>
      </c>
      <c r="D340" t="inlineStr">
        <is>
          <t>Debit</t>
        </is>
      </c>
      <c r="E340" t="inlineStr">
        <is>
          <t>Tools</t>
        </is>
      </c>
      <c r="F340">
        <f>IF(E340="Income","Revenue",IF(OR(E340="Materials",E340="Labor",E340="Dump Fees"),"COGS",IF(OR(E340="Fuel",E340="Insurance",E340="Tools",E340="Repairs"),"Expense","Non-Deductible")))</f>
        <v/>
      </c>
    </row>
    <row r="341">
      <c r="A341" s="5" t="n">
        <v>45852</v>
      </c>
      <c r="B341" t="inlineStr">
        <is>
          <t>Card Withdrawals - Debit Purchase - VISA On 071025 FAIRVIEW HTS IL 2243783225</t>
        </is>
      </c>
      <c r="C341" t="n">
        <v>137.18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</row>
    <row r="342">
      <c r="A342" s="5" t="n">
        <v>45852</v>
      </c>
      <c r="B342" t="inlineStr">
        <is>
          <t>Card Withdrawals - Debit Purchase - VISA On 071025 NEW ATHENS IL 2300709482</t>
        </is>
      </c>
      <c r="C342" t="n">
        <v>77.76000000000001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</row>
    <row r="343">
      <c r="A343" s="5" t="n">
        <v>45852</v>
      </c>
      <c r="B343" t="inlineStr">
        <is>
          <t>Card Withdrawals - Debit Purchase - VISA On 071125 FAIRVIEW HEI IL 4405735017</t>
        </is>
      </c>
      <c r="C343" t="n">
        <v>71.95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</row>
    <row r="344">
      <c r="A344" s="5" t="n">
        <v>45852</v>
      </c>
      <c r="B344" t="inlineStr">
        <is>
          <t>Card Withdrawals - Debit Purchase - VISA On 071125 O'FALLON IL 4052300445</t>
        </is>
      </c>
      <c r="C344" t="n">
        <v>168.18</v>
      </c>
      <c r="D344" t="inlineStr">
        <is>
          <t>Debit</t>
        </is>
      </c>
      <c r="E344" t="inlineStr">
        <is>
          <t>Tools</t>
        </is>
      </c>
      <c r="F344">
        <f>IF(E344="Income","Revenue",IF(OR(E344="Materials",E344="Labor",E344="Dump Fees"),"COGS",IF(OR(E344="Fuel",E344="Insurance",E344="Tools",E344="Repairs"),"Expense","Non-Deductible")))</f>
        <v/>
      </c>
    </row>
    <row r="345">
      <c r="A345" s="5" t="n">
        <v>45852</v>
      </c>
      <c r="B345" t="inlineStr">
        <is>
          <t>Card Withdrawals - Debit Purchase - VISA On 071225 OFallon IL 4102422557</t>
        </is>
      </c>
      <c r="C345" t="n">
        <v>90.56999999999999</v>
      </c>
      <c r="D345" t="inlineStr">
        <is>
          <t>Debit</t>
        </is>
      </c>
      <c r="E345" t="inlineStr">
        <is>
          <t>Tools</t>
        </is>
      </c>
      <c r="F345">
        <f>IF(E345="Income","Revenue",IF(OR(E345="Materials",E345="Labor",E345="Dump Fees"),"COGS",IF(OR(E345="Fuel",E345="Insurance",E345="Tools",E345="Repairs"),"Expense","Non-Deductible")))</f>
        <v/>
      </c>
    </row>
    <row r="346">
      <c r="A346" s="5" t="n">
        <v>45852</v>
      </c>
      <c r="B346" t="inlineStr">
        <is>
          <t>Card Withdrawals - Debit Purchase - VISA On 071325 FREEBURG IL 4300750536</t>
        </is>
      </c>
      <c r="C346" t="n">
        <v>43.48</v>
      </c>
      <c r="D346" t="inlineStr">
        <is>
          <t>Debit</t>
        </is>
      </c>
      <c r="E346" t="inlineStr">
        <is>
          <t>Tools</t>
        </is>
      </c>
      <c r="F346">
        <f>IF(E346="Income","Revenue",IF(OR(E346="Materials",E346="Labor",E346="Dump Fees"),"COGS",IF(OR(E346="Fuel",E346="Insurance",E346="Tools",E346="Repairs"),"Expense","Non-Deductible")))</f>
        <v/>
      </c>
    </row>
    <row r="347">
      <c r="A347" s="5" t="n">
        <v>45852</v>
      </c>
      <c r="B347" t="inlineStr">
        <is>
          <t>Card Withdrawals - Debit Purchase TRACTOR SUPPLY # BELLEVILLE IL 0707140918</t>
        </is>
      </c>
      <c r="C347" t="n">
        <v>46.97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</row>
    <row r="348">
      <c r="A348" s="5" t="n">
        <v>45852</v>
      </c>
      <c r="B348" t="inlineStr">
        <is>
          <t>Other Withdrawals - Electronic Withdrawal To BEST BUY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</row>
    <row r="349">
      <c r="A349" s="5" t="n">
        <v>45852</v>
      </c>
      <c r="B349" t="inlineStr">
        <is>
          <t>Other Withdrawals - Electronic Withdrawal To DISCOVER</t>
        </is>
      </c>
      <c r="C349" t="n">
        <v>1000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</row>
    <row r="350">
      <c r="A350" s="5" t="n">
        <v>45852</v>
      </c>
      <c r="B350" t="inlineStr">
        <is>
          <t>Other Withdrawals - Mobile Banking Payment To Credit Card *************3424</t>
        </is>
      </c>
      <c r="C350" t="n">
        <v>1000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</row>
    <row r="351">
      <c r="A351" s="5" t="n">
        <v>45853</v>
      </c>
      <c r="B351" t="inlineStr">
        <is>
          <t>Card Withdrawals - Debit Purchase - VISA On 071425 FREEBURG IL 5720245640</t>
        </is>
      </c>
      <c r="C351" t="n">
        <v>12.55</v>
      </c>
      <c r="D351" t="inlineStr">
        <is>
          <t>Debit</t>
        </is>
      </c>
      <c r="E351" t="inlineStr">
        <is>
          <t>Tools</t>
        </is>
      </c>
      <c r="F351">
        <f>IF(E351="Income","Revenue",IF(OR(E351="Materials",E351="Labor",E351="Dump Fees"),"COGS",IF(OR(E351="Fuel",E351="Insurance",E351="Tools",E351="Repairs"),"Expense","Non-Deductible")))</f>
        <v/>
      </c>
    </row>
    <row r="352">
      <c r="A352" s="5" t="n">
        <v>45853</v>
      </c>
      <c r="B352" t="inlineStr">
        <is>
          <t>Card Withdrawals - Debit Purchase - VISA On 071425 Freeburg IL 5004389641</t>
        </is>
      </c>
      <c r="C352" t="n">
        <v>27.33</v>
      </c>
      <c r="D352" t="inlineStr">
        <is>
          <t>Debit</t>
        </is>
      </c>
      <c r="E352" t="inlineStr">
        <is>
          <t>Tools</t>
        </is>
      </c>
      <c r="F352">
        <f>IF(E352="Income","Revenue",IF(OR(E352="Materials",E352="Labor",E352="Dump Fees"),"COGS",IF(OR(E352="Fuel",E352="Insurance",E352="Tools",E352="Repairs"),"Expense","Non-Deductible")))</f>
        <v/>
      </c>
    </row>
    <row r="353">
      <c r="A353" s="5" t="n">
        <v>45853</v>
      </c>
      <c r="B353" t="inlineStr">
        <is>
          <t>Card Withdrawals - Debit Purchase - VISA On 071425 freeburg IL 5103403306</t>
        </is>
      </c>
      <c r="C353" t="n">
        <v>4.52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</row>
    <row r="354">
      <c r="A354" s="5" t="n">
        <v>45853</v>
      </c>
      <c r="B354" t="inlineStr">
        <is>
          <t>Card Withdrawals - Debit Purchase CASEYS #2897 705 MASCOUTAH IL 9707151442</t>
        </is>
      </c>
      <c r="C354" t="n">
        <v>7.06</v>
      </c>
      <c r="D354" t="inlineStr">
        <is>
          <t>Debit</t>
        </is>
      </c>
      <c r="E354" t="inlineStr">
        <is>
          <t>Labor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>
        <is>
          <t>Casey</t>
        </is>
      </c>
    </row>
    <row r="355">
      <c r="A355" s="5" t="n">
        <v>45853</v>
      </c>
      <c r="B355" t="inlineStr">
        <is>
          <t>Other Withdrawals - Analysis Service Charge 1500000000</t>
        </is>
      </c>
      <c r="C355" t="n">
        <v>17.16</v>
      </c>
      <c r="D355" t="inlineStr">
        <is>
          <t>Debit</t>
        </is>
      </c>
      <c r="E355" t="inlineStr">
        <is>
          <t>Repairs</t>
        </is>
      </c>
      <c r="F355">
        <f>IF(E355="Income","Revenue",IF(OR(E355="Materials",E355="Labor",E355="Dump Fees"),"COGS",IF(OR(E355="Fuel",E355="Insurance",E355="Tools",E355="Repairs"),"Expense","Non-Deductible")))</f>
        <v/>
      </c>
    </row>
    <row r="356">
      <c r="A356" s="5" t="n">
        <v>45853</v>
      </c>
      <c r="B356" t="inlineStr">
        <is>
          <t>Other Withdrawals - Mobile Banking Transfer To Account 152316875235</t>
        </is>
      </c>
      <c r="C356" t="n">
        <v>350</v>
      </c>
      <c r="D356" t="inlineStr">
        <is>
          <t>Debit</t>
        </is>
      </c>
      <c r="E356" t="inlineStr">
        <is>
          <t>Transfer</t>
        </is>
      </c>
      <c r="F356">
        <f>IF(E356="Income","Revenue",IF(OR(E356="Materials",E356="Labor",E356="Dump Fees"),"COGS",IF(OR(E356="Fuel",E356="Insurance",E356="Tools",E356="Repairs"),"Expense","Non-Deductible")))</f>
        <v/>
      </c>
    </row>
    <row r="357">
      <c r="A357" s="5" t="n">
        <v>45854</v>
      </c>
      <c r="B357" t="inlineStr">
        <is>
          <t>Card Withdrawals - Debit Purchase - VISA On 071525 FREEBURG IL 6720246713</t>
        </is>
      </c>
      <c r="C357" t="n">
        <v>5.31</v>
      </c>
      <c r="D357" t="inlineStr">
        <is>
          <t>Debit</t>
        </is>
      </c>
      <c r="E357" t="inlineStr">
        <is>
          <t>Tools</t>
        </is>
      </c>
      <c r="F357">
        <f>IF(E357="Income","Revenue",IF(OR(E357="Materials",E357="Labor",E357="Dump Fees"),"COGS",IF(OR(E357="Fuel",E357="Insurance",E357="Tools",E357="Repairs"),"Expense","Non-Deductible")))</f>
        <v/>
      </c>
    </row>
    <row r="358">
      <c r="A358" s="5" t="n">
        <v>45854</v>
      </c>
      <c r="B358" t="inlineStr">
        <is>
          <t>Other Deposits - Debit Purchase Ret - VISA On 071525 BELLEVILLE IL 6018202101</t>
        </is>
      </c>
      <c r="C358" t="n">
        <v>50</v>
      </c>
      <c r="D358" t="inlineStr">
        <is>
          <t>Credit</t>
        </is>
      </c>
      <c r="E358" t="inlineStr">
        <is>
          <t>Income</t>
        </is>
      </c>
      <c r="F358">
        <f>IF(E358="Income","Revenue",IF(OR(E358="Materials",E358="Labor",E358="Dump Fees"),"COGS",IF(OR(E358="Fuel",E358="Insurance",E358="Tools",E358="Repairs"),"Expense","Non-Deductible")))</f>
        <v/>
      </c>
    </row>
    <row r="359">
      <c r="A359" s="5" t="n">
        <v>45855</v>
      </c>
      <c r="B359" t="inlineStr">
        <is>
          <t>Card Withdrawals - Debit Purchase - VISA On 071525 618-2834559 IL 7073408677</t>
        </is>
      </c>
      <c r="C359" t="n">
        <v>29.39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</row>
    <row r="360">
      <c r="A360" s="5" t="n">
        <v>45855</v>
      </c>
      <c r="B360" t="inlineStr">
        <is>
          <t>Card Withdrawals - Debit Purchase - VISA On 071525 MASCOUTAH IL 7300651285</t>
        </is>
      </c>
      <c r="C360" t="n">
        <v>72.42</v>
      </c>
      <c r="D360" t="inlineStr">
        <is>
          <t>Debit</t>
        </is>
      </c>
      <c r="E360" t="inlineStr">
        <is>
          <t>Tools</t>
        </is>
      </c>
      <c r="F360">
        <f>IF(E360="Income","Revenue",IF(OR(E360="Materials",E360="Labor",E360="Dump Fees"),"COGS",IF(OR(E360="Fuel",E360="Insurance",E360="Tools",E360="Repairs"),"Expense","Non-Deductible")))</f>
        <v/>
      </c>
    </row>
    <row r="361">
      <c r="A361" s="5" t="n">
        <v>45855</v>
      </c>
      <c r="B361" t="inlineStr">
        <is>
          <t>Card Withdrawals - Debit Purchase WALGREENS STORE BELLEVILLE IL 5007171205</t>
        </is>
      </c>
      <c r="C361" t="n">
        <v>31.18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</row>
    <row r="362">
      <c r="A362" s="5" t="n">
        <v>45855</v>
      </c>
      <c r="B362" t="inlineStr">
        <is>
          <t>Other Deposits - Mobile Check Deposit 8912148678</t>
        </is>
      </c>
      <c r="C362" t="n">
        <v>1500</v>
      </c>
      <c r="D362" t="inlineStr">
        <is>
          <t>Credit</t>
        </is>
      </c>
      <c r="E362" t="inlineStr">
        <is>
          <t>Income</t>
        </is>
      </c>
      <c r="F362">
        <f>IF(E362="Income","Revenue",IF(OR(E362="Materials",E362="Labor",E362="Dump Fees"),"COGS",IF(OR(E362="Fuel",E362="Insurance",E362="Tools",E362="Repairs"),"Expense","Non-Deductible")))</f>
        <v/>
      </c>
    </row>
    <row r="363">
      <c r="A363" s="5" t="n">
        <v>45855</v>
      </c>
      <c r="B363" t="inlineStr">
        <is>
          <t>Other Deposits - Mobile Check Deposit 8912186795</t>
        </is>
      </c>
      <c r="C363" t="n">
        <v>817</v>
      </c>
      <c r="D363" t="inlineStr">
        <is>
          <t>Credit</t>
        </is>
      </c>
      <c r="E363" t="inlineStr">
        <is>
          <t>Income</t>
        </is>
      </c>
      <c r="F363">
        <f>IF(E363="Income","Revenue",IF(OR(E363="Materials",E363="Labor",E363="Dump Fees"),"COGS",IF(OR(E363="Fuel",E363="Insurance",E363="Tools",E363="Repairs"),"Expense","Non-Deductible")))</f>
        <v/>
      </c>
    </row>
    <row r="364">
      <c r="A364" s="5" t="n">
        <v>45855</v>
      </c>
      <c r="B364" t="inlineStr">
        <is>
          <t>Other Deposits - Mobile Check Deposit 8912740814</t>
        </is>
      </c>
      <c r="C364" t="n">
        <v>2850</v>
      </c>
      <c r="D364" t="inlineStr">
        <is>
          <t>Credit</t>
        </is>
      </c>
      <c r="E364" t="inlineStr">
        <is>
          <t>Income</t>
        </is>
      </c>
      <c r="F364">
        <f>IF(E364="Income","Revenue",IF(OR(E364="Materials",E364="Labor",E364="Dump Fees"),"COGS",IF(OR(E364="Fuel",E364="Insurance",E364="Tools",E364="Repairs"),"Expense","Non-Deductible")))</f>
        <v/>
      </c>
    </row>
    <row r="365">
      <c r="A365" s="5" t="n">
        <v>45855</v>
      </c>
      <c r="B365" t="inlineStr">
        <is>
          <t>Other Withdrawals - Electronic Withdrawal To MERCURY CARD FBT</t>
        </is>
      </c>
      <c r="C365" t="n">
        <v>500</v>
      </c>
      <c r="D365" t="inlineStr">
        <is>
          <t>Debit</t>
        </is>
      </c>
      <c r="E365" t="inlineStr">
        <is>
          <t>Tools</t>
        </is>
      </c>
      <c r="F365">
        <f>IF(E365="Income","Revenue",IF(OR(E365="Materials",E365="Labor",E365="Dump Fees"),"COGS",IF(OR(E365="Fuel",E365="Insurance",E365="Tools",E365="Repairs"),"Expense","Non-Deductible")))</f>
        <v/>
      </c>
    </row>
    <row r="366">
      <c r="A366" s="5" t="n">
        <v>45856</v>
      </c>
      <c r="B366" t="inlineStr">
        <is>
          <t>Card Withdrawals - ATM Withdrawal 1291 OLD BALDWIN NEW ATHENS IL</t>
        </is>
      </c>
      <c r="C366" t="n">
        <v>303.25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</row>
    <row r="367">
      <c r="A367" s="5" t="n">
        <v>45856</v>
      </c>
      <c r="B367" t="inlineStr">
        <is>
          <t>Card Withdrawals - Debit Purchase - VISA On 071625 BELLEVILLE IL 8106128150</t>
        </is>
      </c>
      <c r="C367" t="n">
        <v>44.68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</row>
    <row r="368">
      <c r="A368" s="5" t="n">
        <v>45856</v>
      </c>
      <c r="B368" t="inlineStr">
        <is>
          <t>Card Withdrawals - Debit Purchase verifyvend855-55 PROVIDENCE RI 2007181541</t>
        </is>
      </c>
      <c r="C368" t="n">
        <v>164.37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</row>
    <row r="369">
      <c r="A369" s="5" t="n">
        <v>45856</v>
      </c>
      <c r="B369" t="inlineStr">
        <is>
          <t>Card Withdrawals - Fee ATM Withdrawal At Other Network 1800000181 $</t>
        </is>
      </c>
      <c r="C369" t="n">
        <v>3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</row>
    <row r="370">
      <c r="A370" s="5" t="n">
        <v>45856</v>
      </c>
      <c r="B370" t="inlineStr">
        <is>
          <t>Other Withdrawals - Mobile Banking Transfer To Account 152316875235</t>
        </is>
      </c>
      <c r="C370" t="n">
        <v>300</v>
      </c>
      <c r="D370" t="inlineStr">
        <is>
          <t>Debit</t>
        </is>
      </c>
      <c r="E370" t="inlineStr">
        <is>
          <t>Transfer</t>
        </is>
      </c>
      <c r="F370">
        <f>IF(E370="Income","Revenue",IF(OR(E370="Materials",E370="Labor",E370="Dump Fees"),"COGS",IF(OR(E370="Fuel",E370="Insurance",E370="Tools",E370="Repairs"),"Expense","Non-Deductible")))</f>
        <v/>
      </c>
    </row>
    <row r="371">
      <c r="A371" s="5" t="n">
        <v>45856</v>
      </c>
      <c r="B371" t="inlineStr">
        <is>
          <t>Other Withdrawals - Mobile Banking Transfer To Account 152316875235</t>
        </is>
      </c>
      <c r="C371" t="n">
        <v>500</v>
      </c>
      <c r="D371" t="inlineStr">
        <is>
          <t>Debit</t>
        </is>
      </c>
      <c r="E371" t="inlineStr">
        <is>
          <t>Transfer</t>
        </is>
      </c>
      <c r="F371">
        <f>IF(E371="Income","Revenue",IF(OR(E371="Materials",E371="Labor",E371="Dump Fees"),"COGS",IF(OR(E371="Fuel",E371="Insurance",E371="Tools",E371="Repairs"),"Expense","Non-Deductible")))</f>
        <v/>
      </c>
    </row>
    <row r="372">
      <c r="A372" s="5" t="n">
        <v>45856</v>
      </c>
      <c r="B372" t="inlineStr">
        <is>
          <t>Other Withdrawals - Zelle Instant PMT To Casey Williamson</t>
        </is>
      </c>
      <c r="C372" t="n">
        <v>850</v>
      </c>
      <c r="D372" t="inlineStr">
        <is>
          <t>Debit</t>
        </is>
      </c>
      <c r="E372" t="inlineStr">
        <is>
          <t>Labor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>
        <is>
          <t>Casey</t>
        </is>
      </c>
    </row>
    <row r="373">
      <c r="A373" s="5" t="n">
        <v>45859</v>
      </c>
      <c r="B373" t="inlineStr">
        <is>
          <t>Card Withdrawals - Debit Purchase MNRD-OFALLON 117 O'FALLON IL 6407211204</t>
        </is>
      </c>
      <c r="C373" t="n">
        <v>144.94</v>
      </c>
      <c r="D373" t="inlineStr">
        <is>
          <t>Debit</t>
        </is>
      </c>
      <c r="E373" t="inlineStr">
        <is>
          <t>Tools</t>
        </is>
      </c>
      <c r="F373">
        <f>IF(E373="Income","Revenue",IF(OR(E373="Materials",E373="Labor",E373="Dump Fees"),"COGS",IF(OR(E373="Fuel",E373="Insurance",E373="Tools",E373="Repairs"),"Expense","Non-Deductible")))</f>
        <v/>
      </c>
    </row>
    <row r="374">
      <c r="A374" s="5" t="n">
        <v>45859</v>
      </c>
      <c r="B374" t="inlineStr">
        <is>
          <t>Other Withdrawals - Electronic Withdrawal To CATHOLIC CCU</t>
        </is>
      </c>
      <c r="C374" t="n">
        <v>572.5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</row>
    <row r="375">
      <c r="A375" s="5" t="n">
        <v>45860</v>
      </c>
      <c r="B375" t="inlineStr">
        <is>
          <t>Card Withdrawals - Debit Purchase - VISA On 072125 BELLEVILLE IL 3001099244</t>
        </is>
      </c>
      <c r="C375" t="n">
        <v>14.17</v>
      </c>
      <c r="D375" t="inlineStr">
        <is>
          <t>Debit</t>
        </is>
      </c>
      <c r="E375" t="inlineStr">
        <is>
          <t>Tools</t>
        </is>
      </c>
      <c r="F375">
        <f>IF(E375="Income","Revenue",IF(OR(E375="Materials",E375="Labor",E375="Dump Fees"),"COGS",IF(OR(E375="Fuel",E375="Insurance",E375="Tools",E375="Repairs"),"Expense","Non-Deductible")))</f>
        <v/>
      </c>
    </row>
    <row r="376">
      <c r="A376" s="5" t="n">
        <v>45860</v>
      </c>
      <c r="B376" t="inlineStr">
        <is>
          <t>Card Withdrawals - Debit Purchase THE HOME DEPOT # BELLEVILLE IL 9207221619</t>
        </is>
      </c>
      <c r="C376" t="n">
        <v>267.04</v>
      </c>
      <c r="D376" t="inlineStr">
        <is>
          <t>Debit</t>
        </is>
      </c>
      <c r="E376" t="inlineStr">
        <is>
          <t>Materials</t>
        </is>
      </c>
      <c r="F376">
        <f>IF(E376="Income","Revenue",IF(OR(E376="Materials",E376="Labor",E376="Dump Fees"),"COGS",IF(OR(E376="Fuel",E376="Insurance",E376="Tools",E376="Repairs"),"Expense","Non-Deductible")))</f>
        <v/>
      </c>
    </row>
    <row r="377">
      <c r="A377" s="5" t="n">
        <v>45860</v>
      </c>
      <c r="B377" t="inlineStr">
        <is>
          <t>Other Deposits - Mobile Check Deposit 8314323869</t>
        </is>
      </c>
      <c r="C377" t="n">
        <v>4187</v>
      </c>
      <c r="D377" t="inlineStr">
        <is>
          <t>Credit</t>
        </is>
      </c>
      <c r="E377" t="inlineStr">
        <is>
          <t>Income</t>
        </is>
      </c>
      <c r="F377">
        <f>IF(E377="Income","Revenue",IF(OR(E377="Materials",E377="Labor",E377="Dump Fees"),"COGS",IF(OR(E377="Fuel",E377="Insurance",E377="Tools",E377="Repairs"),"Expense","Non-Deductible")))</f>
        <v/>
      </c>
    </row>
    <row r="378">
      <c r="A378" s="5" t="n">
        <v>45861</v>
      </c>
      <c r="B378" t="inlineStr">
        <is>
          <t>Card Withdrawals - ATM Withdrawal 1291 FRANK SCOTT BELLEVILLE IL</t>
        </is>
      </c>
      <c r="C378" t="n">
        <v>203</v>
      </c>
      <c r="D378" t="inlineStr">
        <is>
          <t>Debit</t>
        </is>
      </c>
      <c r="E378" t="inlineStr">
        <is>
          <t>Tools</t>
        </is>
      </c>
      <c r="F378">
        <f>IF(E378="Income","Revenue",IF(OR(E378="Materials",E378="Labor",E378="Dump Fees"),"COGS",IF(OR(E378="Fuel",E378="Insurance",E378="Tools",E378="Repairs"),"Expense","Non-Deductible")))</f>
        <v/>
      </c>
    </row>
    <row r="379">
      <c r="A379" s="5" t="n">
        <v>45861</v>
      </c>
      <c r="B379" t="inlineStr">
        <is>
          <t>Card Withdrawals - Debit Purchase - VISA On 072125 NEW ATHENS IL 3300635640</t>
        </is>
      </c>
      <c r="C379" t="n">
        <v>89.61</v>
      </c>
      <c r="D379" t="inlineStr">
        <is>
          <t>Debit</t>
        </is>
      </c>
      <c r="E379" t="inlineStr">
        <is>
          <t>Tools</t>
        </is>
      </c>
      <c r="F379">
        <f>IF(E379="Income","Revenue",IF(OR(E379="Materials",E379="Labor",E379="Dump Fees"),"COGS",IF(OR(E379="Fuel",E379="Insurance",E379="Tools",E379="Repairs"),"Expense","Non-Deductible")))</f>
        <v/>
      </c>
    </row>
    <row r="380">
      <c r="A380" s="5" t="n">
        <v>45861</v>
      </c>
      <c r="B380" t="inlineStr">
        <is>
          <t>Card Withdrawals - Debit Purchase PETSMART # 1853 BELLEVILLE IL 7307231614</t>
        </is>
      </c>
      <c r="C380" t="n">
        <v>108.52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</row>
    <row r="381">
      <c r="A381" s="5" t="n">
        <v>45861</v>
      </c>
      <c r="B381" t="inlineStr">
        <is>
          <t>Card Withdrawals - Fee ATM Withdrawal At Other Network 2300000116</t>
        </is>
      </c>
      <c r="C381" t="n">
        <v>3</v>
      </c>
      <c r="D381" t="inlineStr">
        <is>
          <t>Debit</t>
        </is>
      </c>
      <c r="E381" t="inlineStr">
        <is>
          <t>Tools</t>
        </is>
      </c>
      <c r="F381">
        <f>IF(E381="Income","Revenue",IF(OR(E381="Materials",E381="Labor",E381="Dump Fees"),"COGS",IF(OR(E381="Fuel",E381="Insurance",E381="Tools",E381="Repairs"),"Expense","Non-Deductible")))</f>
        <v/>
      </c>
    </row>
    <row r="382">
      <c r="A382" s="5" t="n">
        <v>45861</v>
      </c>
      <c r="B382" t="inlineStr">
        <is>
          <t>Other Deposits - Debit Purchase Return MNRD-OFAL 1179 C O'FALLON IL $</t>
        </is>
      </c>
      <c r="C382" t="n">
        <v>144.94</v>
      </c>
      <c r="D382" t="inlineStr">
        <is>
          <t>Credit</t>
        </is>
      </c>
      <c r="E382" t="inlineStr">
        <is>
          <t>Income</t>
        </is>
      </c>
      <c r="F382">
        <f>IF(E382="Income","Revenue",IF(OR(E382="Materials",E382="Labor",E382="Dump Fees"),"COGS",IF(OR(E382="Fuel",E382="Insurance",E382="Tools",E382="Repairs"),"Expense","Non-Deductible")))</f>
        <v/>
      </c>
    </row>
    <row r="383">
      <c r="A383" s="5" t="n">
        <v>45861</v>
      </c>
      <c r="B383" t="inlineStr">
        <is>
          <t>Other Deposits - Mobile Check Deposit 8613052747</t>
        </is>
      </c>
      <c r="C383" t="n">
        <v>3500</v>
      </c>
      <c r="D383" t="inlineStr">
        <is>
          <t>Credit</t>
        </is>
      </c>
      <c r="E383" t="inlineStr">
        <is>
          <t>Income</t>
        </is>
      </c>
      <c r="F383">
        <f>IF(E383="Income","Revenue",IF(OR(E383="Materials",E383="Labor",E383="Dump Fees"),"COGS",IF(OR(E383="Fuel",E383="Insurance",E383="Tools",E383="Repairs"),"Expense","Non-Deductible")))</f>
        <v/>
      </c>
    </row>
    <row r="384">
      <c r="A384" s="5" t="n">
        <v>45862</v>
      </c>
      <c r="B384" t="inlineStr">
        <is>
          <t>Card Withdrawals - Debit Purchase - VISA On 072225 FAIRVIEW HTS IL 4251637194</t>
        </is>
      </c>
      <c r="C384" t="n">
        <v>93.31999999999999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</row>
    <row r="385">
      <c r="A385" s="5" t="n">
        <v>45862</v>
      </c>
      <c r="B385" t="inlineStr">
        <is>
          <t>Card Withdrawals - Debit Purchase - VISA On 072325 FREEBURG IL 4720247935</t>
        </is>
      </c>
      <c r="C385" t="n">
        <v>4.14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</row>
    <row r="386">
      <c r="A386" s="5" t="n">
        <v>45862</v>
      </c>
      <c r="B386" t="inlineStr">
        <is>
          <t>Card Withdrawals - Debit Purchase - VISA On 072325 NEW ATHENS IL 4900017576</t>
        </is>
      </c>
      <c r="C386" t="n">
        <v>30.33</v>
      </c>
      <c r="D386" t="inlineStr">
        <is>
          <t>Debit</t>
        </is>
      </c>
      <c r="E386" t="inlineStr">
        <is>
          <t>Tools</t>
        </is>
      </c>
      <c r="F386">
        <f>IF(E386="Income","Revenue",IF(OR(E386="Materials",E386="Labor",E386="Dump Fees"),"COGS",IF(OR(E386="Fuel",E386="Insurance",E386="Tools",E386="Repairs"),"Expense","Non-Deductible")))</f>
        <v/>
      </c>
    </row>
    <row r="387">
      <c r="A387" s="5" t="n">
        <v>45862</v>
      </c>
      <c r="B387" t="inlineStr">
        <is>
          <t>Card Withdrawals - Debit Purchase MPC 1022 SAINT LOUIS MO</t>
        </is>
      </c>
      <c r="C387" t="n">
        <v>70.12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</row>
    <row r="388">
      <c r="A388" s="5" t="n">
        <v>45862</v>
      </c>
      <c r="B388" t="inlineStr">
        <is>
          <t>Card Withdrawals - Debit Purchase verifyvend855-55 PROVIDENCE RI 6807241221</t>
        </is>
      </c>
      <c r="C388" t="n">
        <v>264.86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</row>
    <row r="389">
      <c r="A389" s="5" t="n">
        <v>45862</v>
      </c>
      <c r="B389" t="inlineStr">
        <is>
          <t>Other Withdrawals - Mobile Banking Payment To Credit Card *************3424</t>
        </is>
      </c>
      <c r="C389" t="n">
        <v>600</v>
      </c>
      <c r="D389" t="inlineStr">
        <is>
          <t>Debit</t>
        </is>
      </c>
      <c r="E389" t="inlineStr">
        <is>
          <t>Fuel</t>
        </is>
      </c>
      <c r="F389">
        <f>IF(E389="Income","Revenue",IF(OR(E389="Materials",E389="Labor",E389="Dump Fees"),"COGS",IF(OR(E389="Fuel",E389="Insurance",E389="Tools",E389="Repairs"),"Expense","Non-Deductible")))</f>
        <v/>
      </c>
    </row>
    <row r="390">
      <c r="A390" s="5" t="n">
        <v>45862</v>
      </c>
      <c r="B390" t="inlineStr">
        <is>
          <t>Other Withdrawals - Mobile Banking Transfer To Account 152316875235</t>
        </is>
      </c>
      <c r="C390" t="n">
        <v>1000</v>
      </c>
      <c r="D390" t="inlineStr">
        <is>
          <t>Debit</t>
        </is>
      </c>
      <c r="E390" t="inlineStr">
        <is>
          <t>Transfer</t>
        </is>
      </c>
      <c r="F390">
        <f>IF(E390="Income","Revenue",IF(OR(E390="Materials",E390="Labor",E390="Dump Fees"),"COGS",IF(OR(E390="Fuel",E390="Insurance",E390="Tools",E390="Repairs"),"Expense","Non-Deductible")))</f>
        <v/>
      </c>
    </row>
    <row r="391">
      <c r="A391" s="5" t="n">
        <v>45862</v>
      </c>
      <c r="B391" t="inlineStr">
        <is>
          <t>Other Withdrawals - Zelle Instant PMT To Casey Williamson</t>
        </is>
      </c>
      <c r="C391" t="n">
        <v>575</v>
      </c>
      <c r="D391" t="inlineStr">
        <is>
          <t>Debit</t>
        </is>
      </c>
      <c r="E391" t="inlineStr">
        <is>
          <t>Labor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>
        <is>
          <t>Casey</t>
        </is>
      </c>
    </row>
    <row r="392">
      <c r="A392" s="5" t="n">
        <v>45863</v>
      </c>
      <c r="B392" t="inlineStr">
        <is>
          <t>Card Withdrawals - ATM Withdrawal 1 S BELT EAST BELLEVILLE IL</t>
        </is>
      </c>
      <c r="C392" t="n">
        <v>203</v>
      </c>
      <c r="D392" t="inlineStr">
        <is>
          <t>Debit</t>
        </is>
      </c>
      <c r="E392" t="inlineStr">
        <is>
          <t>Tools</t>
        </is>
      </c>
      <c r="F392">
        <f>IF(E392="Income","Revenue",IF(OR(E392="Materials",E392="Labor",E392="Dump Fees"),"COGS",IF(OR(E392="Fuel",E392="Insurance",E392="Tools",E392="Repairs"),"Expense","Non-Deductible")))</f>
        <v/>
      </c>
    </row>
    <row r="393">
      <c r="A393" s="5" t="n">
        <v>45863</v>
      </c>
      <c r="B393" t="inlineStr">
        <is>
          <t>Card Withdrawals - Debit Purchase - VISA On 072425 Freeburg IL 6103056602</t>
        </is>
      </c>
      <c r="C393" t="n">
        <v>85.62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</row>
    <row r="394">
      <c r="A394" s="5" t="n">
        <v>45863</v>
      </c>
      <c r="B394" t="inlineStr">
        <is>
          <t>Card Withdrawals - Fee ATM Withdrawal At Other Network 2500000157</t>
        </is>
      </c>
      <c r="C394" t="n">
        <v>3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</row>
    <row r="395">
      <c r="A395" s="5" t="n">
        <v>45863</v>
      </c>
      <c r="B395" t="inlineStr">
        <is>
          <t>Card Withdrawals - Recurring Debit Purchase On 072425 800-288-2020 TX 5102916282</t>
        </is>
      </c>
      <c r="C395" t="n">
        <v>61</v>
      </c>
      <c r="D395" t="inlineStr">
        <is>
          <t>Debit</t>
        </is>
      </c>
      <c r="E395" t="inlineStr">
        <is>
          <t>Tools</t>
        </is>
      </c>
      <c r="F395">
        <f>IF(E395="Income","Revenue",IF(OR(E395="Materials",E395="Labor",E395="Dump Fees"),"COGS",IF(OR(E395="Fuel",E395="Insurance",E395="Tools",E395="Repairs"),"Expense","Non-Deductible")))</f>
        <v/>
      </c>
    </row>
    <row r="396">
      <c r="A396" s="5" t="n">
        <v>45863</v>
      </c>
      <c r="B396" t="inlineStr">
        <is>
          <t>Other Deposits - Mobile Check Deposit 9212618595</t>
        </is>
      </c>
      <c r="C396" t="n">
        <v>200</v>
      </c>
      <c r="D396" t="inlineStr">
        <is>
          <t>Credit</t>
        </is>
      </c>
      <c r="E396" t="inlineStr">
        <is>
          <t>Income</t>
        </is>
      </c>
      <c r="F396">
        <f>IF(E396="Income","Revenue",IF(OR(E396="Materials",E396="Labor",E396="Dump Fees"),"COGS",IF(OR(E396="Fuel",E396="Insurance",E396="Tools",E396="Repairs"),"Expense","Non-Deductible")))</f>
        <v/>
      </c>
    </row>
    <row r="397">
      <c r="A397" s="5" t="n">
        <v>45863</v>
      </c>
      <c r="B397" t="inlineStr">
        <is>
          <t>Other Withdrawals - ATM Fee Balance Inquiry At Other Network 2500000001</t>
        </is>
      </c>
      <c r="C397" t="n">
        <v>3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</row>
    <row r="398">
      <c r="A398" s="5" t="n">
        <v>45863</v>
      </c>
      <c r="B398" t="inlineStr">
        <is>
          <t>Other Withdrawals - Electronic Withdrawal To DISCOVER</t>
        </is>
      </c>
      <c r="C398" t="n">
        <v>1000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</row>
    <row r="399">
      <c r="A399" s="5" t="n">
        <v>45863</v>
      </c>
      <c r="B399" t="inlineStr">
        <is>
          <t>Other Withdrawals - Electronic Withdrawal To MERCURY CARD FBT</t>
        </is>
      </c>
      <c r="C399" t="n">
        <v>1000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</row>
    <row r="400">
      <c r="A400" s="5" t="n">
        <v>45863</v>
      </c>
      <c r="B400" t="inlineStr">
        <is>
          <t>Other Withdrawals - Mobile Banking Transfer To Account 152316875235</t>
        </is>
      </c>
      <c r="C400" t="n">
        <v>400</v>
      </c>
      <c r="D400" t="inlineStr">
        <is>
          <t>Debit</t>
        </is>
      </c>
      <c r="E400" t="inlineStr">
        <is>
          <t>Transfer</t>
        </is>
      </c>
      <c r="F400">
        <f>IF(E400="Income","Revenue",IF(OR(E400="Materials",E400="Labor",E400="Dump Fees"),"COGS",IF(OR(E400="Fuel",E400="Insurance",E400="Tools",E400="Repairs"),"Expense","Non-Deductible")))</f>
        <v/>
      </c>
    </row>
    <row r="401">
      <c r="A401" s="5" t="n">
        <v>45863</v>
      </c>
      <c r="B401" t="inlineStr">
        <is>
          <t>Other Withdrawals - Zelle Instant PMT To Brian Davis</t>
        </is>
      </c>
      <c r="C401" t="n">
        <v>350</v>
      </c>
      <c r="D401" t="inlineStr">
        <is>
          <t>Debit</t>
        </is>
      </c>
      <c r="E401" t="inlineStr">
        <is>
          <t>Labor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>
        <is>
          <t>Bryan</t>
        </is>
      </c>
    </row>
    <row r="402">
      <c r="A402" s="5" t="n">
        <v>45863</v>
      </c>
      <c r="B402" t="inlineStr">
        <is>
          <t>Other Withdrawals - Zelle Instant PMT To Brian Davis</t>
        </is>
      </c>
      <c r="C402" t="n">
        <v>1050</v>
      </c>
      <c r="D402" t="inlineStr">
        <is>
          <t>Debit</t>
        </is>
      </c>
      <c r="E402" t="inlineStr">
        <is>
          <t>Labor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>
        <is>
          <t>Bryan</t>
        </is>
      </c>
    </row>
    <row r="403">
      <c r="A403" s="5" t="n">
        <v>45863</v>
      </c>
      <c r="B403" t="inlineStr">
        <is>
          <t>Other Withdrawals - Zelle Instant PMT To Casey Williamson</t>
        </is>
      </c>
      <c r="C403" t="n">
        <v>100</v>
      </c>
      <c r="D403" t="inlineStr">
        <is>
          <t>Debit</t>
        </is>
      </c>
      <c r="E403" t="inlineStr">
        <is>
          <t>Labor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>
        <is>
          <t>Casey</t>
        </is>
      </c>
    </row>
    <row r="404">
      <c r="A404" s="5" t="n">
        <v>45866</v>
      </c>
      <c r="B404" t="inlineStr">
        <is>
          <t>Card Withdrawals - Recurring Debit Purchase On 072525 888-270-2644 IN 6103868862</t>
        </is>
      </c>
      <c r="C404" t="n">
        <v>817.5</v>
      </c>
      <c r="D404" t="inlineStr">
        <is>
          <t>Debit</t>
        </is>
      </c>
      <c r="E404" t="inlineStr">
        <is>
          <t>Tools</t>
        </is>
      </c>
      <c r="F404">
        <f>IF(E404="Income","Revenue",IF(OR(E404="Materials",E404="Labor",E404="Dump Fees"),"COGS",IF(OR(E404="Fuel",E404="Insurance",E404="Tools",E404="Repairs"),"Expense","Non-Deductible")))</f>
        <v/>
      </c>
    </row>
    <row r="405">
      <c r="A405" s="5" t="n">
        <v>45866</v>
      </c>
      <c r="B405" t="inlineStr">
        <is>
          <t>Other Deposits - Mobile Check Deposit 8012982365</t>
        </is>
      </c>
      <c r="C405" t="n">
        <v>4000</v>
      </c>
      <c r="D405" t="inlineStr">
        <is>
          <t>Credit</t>
        </is>
      </c>
      <c r="E405" t="inlineStr">
        <is>
          <t>Income</t>
        </is>
      </c>
      <c r="F405">
        <f>IF(E405="Income","Revenue",IF(OR(E405="Materials",E405="Labor",E405="Dump Fees"),"COGS",IF(OR(E405="Fuel",E405="Insurance",E405="Tools",E405="Repairs"),"Expense","Non-Deductible")))</f>
        <v/>
      </c>
    </row>
    <row r="406">
      <c r="A406" s="5" t="n">
        <v>45866</v>
      </c>
      <c r="B406" t="inlineStr">
        <is>
          <t>Other Withdrawals - Mobile Banking Transfer To Account 152316875235</t>
        </is>
      </c>
      <c r="C406" t="n">
        <v>300</v>
      </c>
      <c r="D406" t="inlineStr">
        <is>
          <t>Debit</t>
        </is>
      </c>
      <c r="E406" t="inlineStr">
        <is>
          <t>Transfer</t>
        </is>
      </c>
      <c r="F406">
        <f>IF(E406="Income","Revenue",IF(OR(E406="Materials",E406="Labor",E406="Dump Fees"),"COGS",IF(OR(E406="Fuel",E406="Insurance",E406="Tools",E406="Repairs"),"Expense","Non-Deductible")))</f>
        <v/>
      </c>
    </row>
    <row r="407">
      <c r="A407" s="5" t="n">
        <v>45869</v>
      </c>
      <c r="B407" t="inlineStr">
        <is>
          <t>Card Withdrawals - Debit Purchase CIRCLE K # 01359 TROY IL</t>
        </is>
      </c>
      <c r="C407" t="n">
        <v>96.42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</row>
    <row r="408">
      <c r="A408" s="5" t="n">
        <v>45869</v>
      </c>
      <c r="B408" t="inlineStr">
        <is>
          <t>Card Withdrawals - Recurring Debit Purchase On 073025 800-956-6310 IL 1256471239</t>
        </is>
      </c>
      <c r="C408" t="n">
        <v>294.97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</row>
    <row r="409">
      <c r="A409" s="5" t="n">
        <v>45869</v>
      </c>
      <c r="B409" t="inlineStr">
        <is>
          <t>Other Deposits - Mobile Check Deposit 8913502382</t>
        </is>
      </c>
      <c r="C409" t="n">
        <v>4250</v>
      </c>
      <c r="D409" t="inlineStr">
        <is>
          <t>Credit</t>
        </is>
      </c>
      <c r="E409" t="inlineStr">
        <is>
          <t>Income</t>
        </is>
      </c>
      <c r="F409">
        <f>IF(E409="Income","Revenue",IF(OR(E409="Materials",E409="Labor",E409="Dump Fees"),"COGS",IF(OR(E409="Fuel",E409="Insurance",E409="Tools",E409="Repairs"),"Expense","Non-Deductible")))</f>
        <v/>
      </c>
    </row>
    <row r="410">
      <c r="A410" s="5" t="n">
        <v>45870</v>
      </c>
      <c r="B410" t="inlineStr">
        <is>
          <t>Card Withdrawals - Debit Purchase - VISA On 073025 COULTERVILLE IL 2900012719 $</t>
        </is>
      </c>
      <c r="C410" t="n">
        <v>65.69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</row>
    <row r="411">
      <c r="A411" s="5" t="n">
        <v>45870</v>
      </c>
      <c r="B411" t="inlineStr">
        <is>
          <t>Other Withdrawals - Mobile Banking Transfer To Account 152316875235</t>
        </is>
      </c>
      <c r="C411" t="n">
        <v>699</v>
      </c>
      <c r="D411" t="inlineStr">
        <is>
          <t>Debit</t>
        </is>
      </c>
      <c r="E411" t="inlineStr">
        <is>
          <t>Transfer</t>
        </is>
      </c>
      <c r="F411">
        <f>IF(E411="Income","Revenue",IF(OR(E411="Materials",E411="Labor",E411="Dump Fees"),"COGS",IF(OR(E411="Fuel",E411="Insurance",E411="Tools",E411="Repairs"),"Expense","Non-Deductible")))</f>
        <v/>
      </c>
    </row>
    <row r="412">
      <c r="A412" s="5" t="n">
        <v>45870</v>
      </c>
      <c r="B412" t="inlineStr">
        <is>
          <t>Other Withdrawals - Mobile Banking Transfer To Account 152316875235 $</t>
        </is>
      </c>
      <c r="C412" t="n">
        <v>200</v>
      </c>
      <c r="D412" t="inlineStr">
        <is>
          <t>Debit</t>
        </is>
      </c>
      <c r="E412" t="inlineStr">
        <is>
          <t>Transfer</t>
        </is>
      </c>
      <c r="F412">
        <f>IF(E412="Income","Revenue",IF(OR(E412="Materials",E412="Labor",E412="Dump Fees"),"COGS",IF(OR(E412="Fuel",E412="Insurance",E412="Tools",E412="Repairs"),"Expense","Non-Deductible")))</f>
        <v/>
      </c>
    </row>
    <row r="413">
      <c r="A413" s="5" t="n">
        <v>45870</v>
      </c>
      <c r="B413" t="inlineStr">
        <is>
          <t>Other Withdrawals - Zelle Instant PMT To Brian Davis</t>
        </is>
      </c>
      <c r="C413" t="n">
        <v>1120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>
        <is>
          <t>Bryan</t>
        </is>
      </c>
    </row>
    <row r="414">
      <c r="A414" s="5" t="n">
        <v>45870</v>
      </c>
      <c r="B414" t="inlineStr">
        <is>
          <t>Other Withdrawals - Zelle Instant PMT To Casey Williamson</t>
        </is>
      </c>
      <c r="C414" t="n">
        <v>800</v>
      </c>
      <c r="D414" t="inlineStr">
        <is>
          <t>Debit</t>
        </is>
      </c>
      <c r="E414" t="inlineStr">
        <is>
          <t>Labor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>
        <is>
          <t>Casey</t>
        </is>
      </c>
    </row>
    <row r="415">
      <c r="A415" s="5" t="n">
        <v>45873</v>
      </c>
      <c r="B415" t="inlineStr">
        <is>
          <t>Card Withdrawals - Debit Purchase - VISA On 080125 618-2354091 IL 4000294950</t>
        </is>
      </c>
      <c r="C415" t="n">
        <v>120.7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</row>
    <row r="416">
      <c r="A416" s="5" t="n">
        <v>45873</v>
      </c>
      <c r="B416" t="inlineStr">
        <is>
          <t>Other Deposits - Debit Purchase Ret - VISA On 080325 BELLEVILLE IL 4000294950 $</t>
        </is>
      </c>
      <c r="C416" t="n">
        <v>58</v>
      </c>
      <c r="D416" t="inlineStr">
        <is>
          <t>Credit</t>
        </is>
      </c>
      <c r="E416" t="inlineStr">
        <is>
          <t>Income</t>
        </is>
      </c>
      <c r="F416">
        <f>IF(E416="Income","Revenue",IF(OR(E416="Materials",E416="Labor",E416="Dump Fees"),"COGS",IF(OR(E416="Fuel",E416="Insurance",E416="Tools",E416="Repairs"),"Expense","Non-Deductible")))</f>
        <v/>
      </c>
    </row>
    <row r="417">
      <c r="A417" s="5" t="n">
        <v>45874</v>
      </c>
      <c r="B417" t="inlineStr">
        <is>
          <t>Other Withdrawals - 14,771.36 Aug11 15,578.71 Aug15</t>
        </is>
      </c>
      <c r="C417" t="n">
        <v>16942.69</v>
      </c>
      <c r="D417" t="inlineStr">
        <is>
          <t>Credit</t>
        </is>
      </c>
      <c r="E417" t="inlineStr">
        <is>
          <t>Income</t>
        </is>
      </c>
      <c r="F417">
        <f>IF(E417="Income","Revenue",IF(OR(E417="Materials",E417="Labor",E417="Dump Fees"),"COGS",IF(OR(E417="Fuel",E417="Insurance",E417="Tools",E417="Repairs"),"Expense","Non-Deductible")))</f>
        <v/>
      </c>
    </row>
    <row r="418">
      <c r="A418" s="5" t="n">
        <v>45874</v>
      </c>
      <c r="B418" t="inlineStr">
        <is>
          <t>Other Withdrawals - Electronic Withdrawal To Credit One Bank</t>
        </is>
      </c>
      <c r="C418" t="n">
        <v>557.3200000000001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</row>
    <row r="419">
      <c r="A419" s="5" t="n">
        <v>45874</v>
      </c>
      <c r="B419" t="inlineStr">
        <is>
          <t>Other Withdrawals - Electronic Withdrawal To Credit One Bank</t>
        </is>
      </c>
      <c r="C419" t="n">
        <v>560.1900000000001</v>
      </c>
      <c r="D419" t="inlineStr">
        <is>
          <t>Debit</t>
        </is>
      </c>
      <c r="E419" t="inlineStr">
        <is>
          <t>Tools</t>
        </is>
      </c>
      <c r="F419">
        <f>IF(E419="Income","Revenue",IF(OR(E419="Materials",E419="Labor",E419="Dump Fees"),"COGS",IF(OR(E419="Fuel",E419="Insurance",E419="Tools",E419="Repairs"),"Expense","Non-Deductible")))</f>
        <v/>
      </c>
    </row>
    <row r="420">
      <c r="A420" s="5" t="n">
        <v>45874</v>
      </c>
      <c r="B420" t="inlineStr">
        <is>
          <t>Other Withdrawals - Electronic Withdrawal To MERCURY CARD FBT</t>
        </is>
      </c>
      <c r="C420" t="n">
        <v>500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</row>
    <row r="421">
      <c r="A421" s="5" t="n">
        <v>45874</v>
      </c>
      <c r="B421" t="inlineStr">
        <is>
          <t>Other Withdrawals - Electronic Withdrawal To MISSION LANE</t>
        </is>
      </c>
      <c r="C421" t="n">
        <v>500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</row>
    <row r="422">
      <c r="A422" s="5" t="n">
        <v>45875</v>
      </c>
      <c r="B422" t="inlineStr">
        <is>
          <t>Card Withdrawals - Debit Purchase verifyvend855-55 PROVIDENCE RI 1708051717</t>
        </is>
      </c>
      <c r="C422" t="n">
        <v>85.2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</row>
    <row r="423">
      <c r="A423" s="5" t="n">
        <v>45875</v>
      </c>
      <c r="B423" t="inlineStr">
        <is>
          <t>Other Deposits - Mobile Check Deposit 8612507654</t>
        </is>
      </c>
      <c r="C423" t="n">
        <v>3619</v>
      </c>
      <c r="D423" t="inlineStr">
        <is>
          <t>Credit</t>
        </is>
      </c>
      <c r="E423" t="inlineStr">
        <is>
          <t>Income</t>
        </is>
      </c>
      <c r="F423">
        <f>IF(E423="Income","Revenue",IF(OR(E423="Materials",E423="Labor",E423="Dump Fees"),"COGS",IF(OR(E423="Fuel",E423="Insurance",E423="Tools",E423="Repairs"),"Expense","Non-Deductible")))</f>
        <v/>
      </c>
    </row>
    <row r="424">
      <c r="A424" s="5" t="n">
        <v>45875</v>
      </c>
      <c r="B424" t="inlineStr">
        <is>
          <t>Other Withdrawals - 18,305.16 Aug12 17,603.21 Aug19</t>
        </is>
      </c>
      <c r="C424" t="n">
        <v>15992.69</v>
      </c>
      <c r="D424" t="inlineStr">
        <is>
          <t>Credit</t>
        </is>
      </c>
      <c r="E424" t="inlineStr">
        <is>
          <t>Income</t>
        </is>
      </c>
      <c r="F424">
        <f>IF(E424="Income","Revenue",IF(OR(E424="Materials",E424="Labor",E424="Dump Fees"),"COGS",IF(OR(E424="Fuel",E424="Insurance",E424="Tools",E424="Repairs"),"Expense","Non-Deductible")))</f>
        <v/>
      </c>
    </row>
    <row r="425">
      <c r="A425" s="5" t="n">
        <v>45876</v>
      </c>
      <c r="B425" t="inlineStr">
        <is>
          <t>Card Withdrawals - Debit Purchase - VISA On 080625 O FALLON IL 9434201100</t>
        </is>
      </c>
      <c r="C425" t="n">
        <v>132.62</v>
      </c>
      <c r="D425" t="inlineStr">
        <is>
          <t>Debit</t>
        </is>
      </c>
      <c r="E425" t="inlineStr">
        <is>
          <t>Tools</t>
        </is>
      </c>
      <c r="F425">
        <f>IF(E425="Income","Revenue",IF(OR(E425="Materials",E425="Labor",E425="Dump Fees"),"COGS",IF(OR(E425="Fuel",E425="Insurance",E425="Tools",E425="Repairs"),"Expense","Non-Deductible")))</f>
        <v/>
      </c>
    </row>
    <row r="426">
      <c r="A426" s="5" t="n">
        <v>45876</v>
      </c>
      <c r="B426" t="inlineStr">
        <is>
          <t>Other Withdrawals - Mobile Banking Payment To Credit Card *************3424</t>
        </is>
      </c>
      <c r="C426" t="n">
        <v>1000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</row>
    <row r="427">
      <c r="A427" s="5" t="n">
        <v>45876</v>
      </c>
      <c r="B427" t="inlineStr">
        <is>
          <t>Other Withdrawals - Mobile Banking Payment To Credit Card *************6452</t>
        </is>
      </c>
      <c r="C427" t="n">
        <v>344.98</v>
      </c>
      <c r="D427" t="inlineStr">
        <is>
          <t>Debit</t>
        </is>
      </c>
      <c r="E427" t="inlineStr">
        <is>
          <t>Fuel</t>
        </is>
      </c>
      <c r="F427">
        <f>IF(E427="Income","Revenue",IF(OR(E427="Materials",E427="Labor",E427="Dump Fees"),"COGS",IF(OR(E427="Fuel",E427="Insurance",E427="Tools",E427="Repairs"),"Expense","Non-Deductible")))</f>
        <v/>
      </c>
    </row>
    <row r="428">
      <c r="A428" s="5" t="n">
        <v>45876</v>
      </c>
      <c r="B428" t="inlineStr">
        <is>
          <t>Other Withdrawals - Mobile Banking Payment To Credit Card *************9563</t>
        </is>
      </c>
      <c r="C428" t="n">
        <v>337.63</v>
      </c>
      <c r="D428" t="inlineStr">
        <is>
          <t>Debit</t>
        </is>
      </c>
      <c r="E428" t="inlineStr">
        <is>
          <t>Fuel</t>
        </is>
      </c>
      <c r="F428">
        <f>IF(E428="Income","Revenue",IF(OR(E428="Materials",E428="Labor",E428="Dump Fees"),"COGS",IF(OR(E428="Fuel",E428="Insurance",E428="Tools",E428="Repairs"),"Expense","Non-Deductible")))</f>
        <v/>
      </c>
    </row>
    <row r="429">
      <c r="A429" s="5" t="n">
        <v>45876</v>
      </c>
      <c r="B429" t="inlineStr">
        <is>
          <t>Other Withdrawals - Mobile Banking Transfer To Account 152316874980</t>
        </is>
      </c>
      <c r="C429" t="n">
        <v>50</v>
      </c>
      <c r="D429" t="inlineStr">
        <is>
          <t>Debit</t>
        </is>
      </c>
      <c r="E429" t="inlineStr">
        <is>
          <t>Transfer</t>
        </is>
      </c>
      <c r="F429">
        <f>IF(E429="Income","Revenue",IF(OR(E429="Materials",E429="Labor",E429="Dump Fees"),"COGS",IF(OR(E429="Fuel",E429="Insurance",E429="Tools",E429="Repairs"),"Expense","Non-Deductible")))</f>
        <v/>
      </c>
    </row>
    <row r="430">
      <c r="A430" s="5" t="n">
        <v>45876</v>
      </c>
      <c r="B430" t="inlineStr">
        <is>
          <t>Other Withdrawals - Zelle Instant PMT To Nadia Session</t>
        </is>
      </c>
      <c r="C430" t="n">
        <v>487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</row>
    <row r="431">
      <c r="A431" s="5" t="n">
        <v>45877</v>
      </c>
      <c r="B431" t="inlineStr">
        <is>
          <t>Other Deposits - Mobile Check Deposit 9212765842</t>
        </is>
      </c>
      <c r="C431" t="n">
        <v>3500</v>
      </c>
      <c r="D431" t="inlineStr">
        <is>
          <t>Credit</t>
        </is>
      </c>
      <c r="E431" t="inlineStr">
        <is>
          <t>Income</t>
        </is>
      </c>
      <c r="F431">
        <f>IF(E431="Income","Revenue",IF(OR(E431="Materials",E431="Labor",E431="Dump Fees"),"COGS",IF(OR(E431="Fuel",E431="Insurance",E431="Tools",E431="Repairs"),"Expense","Non-Deductible")))</f>
        <v/>
      </c>
    </row>
    <row r="432">
      <c r="A432" s="5" t="n">
        <v>45877</v>
      </c>
      <c r="B432" t="inlineStr">
        <is>
          <t>Other Withdrawals - Electronic Withdrawal To MISSION LANE</t>
        </is>
      </c>
      <c r="C432" t="n">
        <v>500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</row>
    <row r="433">
      <c r="A433" s="5" t="n">
        <v>45877</v>
      </c>
      <c r="B433" t="inlineStr">
        <is>
          <t>Other Withdrawals - Mobile Banking Transfer To Account 152316875235</t>
        </is>
      </c>
      <c r="C433" t="n">
        <v>500</v>
      </c>
      <c r="D433" t="inlineStr">
        <is>
          <t>Debit</t>
        </is>
      </c>
      <c r="E433" t="inlineStr">
        <is>
          <t>Transfer</t>
        </is>
      </c>
      <c r="F433">
        <f>IF(E433="Income","Revenue",IF(OR(E433="Materials",E433="Labor",E433="Dump Fees"),"COGS",IF(OR(E433="Fuel",E433="Insurance",E433="Tools",E433="Repairs"),"Expense","Non-Deductible")))</f>
        <v/>
      </c>
    </row>
    <row r="434">
      <c r="A434" s="5" t="n">
        <v>45877</v>
      </c>
      <c r="B434" t="inlineStr">
        <is>
          <t>Other Withdrawals - Zelle Instant PMT To Brian Davis</t>
        </is>
      </c>
      <c r="C434" t="n">
        <v>48.02</v>
      </c>
      <c r="D434" t="inlineStr">
        <is>
          <t>Debit</t>
        </is>
      </c>
      <c r="E434" t="inlineStr">
        <is>
          <t>Labor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>
        <is>
          <t>Bryan</t>
        </is>
      </c>
    </row>
    <row r="435">
      <c r="A435" s="5" t="n">
        <v>45877</v>
      </c>
      <c r="B435" t="inlineStr">
        <is>
          <t>Other Withdrawals - Zelle Instant PMT To Brian Davis</t>
        </is>
      </c>
      <c r="C435" t="n">
        <v>165</v>
      </c>
      <c r="D435" t="inlineStr">
        <is>
          <t>Debit</t>
        </is>
      </c>
      <c r="E435" t="inlineStr">
        <is>
          <t>Labor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>
        <is>
          <t>Bryan</t>
        </is>
      </c>
    </row>
    <row r="436">
      <c r="A436" s="5" t="n">
        <v>45877</v>
      </c>
      <c r="B436" t="inlineStr">
        <is>
          <t>Other Withdrawals - Zelle Instant PMT To Casey Williamson</t>
        </is>
      </c>
      <c r="C436" t="n">
        <v>525</v>
      </c>
      <c r="D436" t="inlineStr">
        <is>
          <t>Debit</t>
        </is>
      </c>
      <c r="E436" t="inlineStr">
        <is>
          <t>Labor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>
        <is>
          <t>Casey</t>
        </is>
      </c>
    </row>
    <row r="437">
      <c r="A437" s="5" t="n">
        <v>45902</v>
      </c>
      <c r="B437" t="inlineStr">
        <is>
          <t>Other Withdrawals - Electronic Withdrawal To STATE FARM BILLG</t>
        </is>
      </c>
      <c r="C437" t="n">
        <v>294.97</v>
      </c>
      <c r="D437" t="inlineStr">
        <is>
          <t>Debit</t>
        </is>
      </c>
      <c r="E437" t="inlineStr">
        <is>
          <t>Insurance</t>
        </is>
      </c>
      <c r="F437">
        <f>IF(E437="Income","Revenue",IF(OR(E437="Materials",E437="Labor",E437="Dump Fees"),"COGS",IF(OR(E437="Fuel",E437="Insurance",E437="Tools",E437="Repairs"),"Expense","Non-Deductible")))</f>
        <v/>
      </c>
    </row>
    <row r="438">
      <c r="A438" s="5" t="n">
        <v>45902</v>
      </c>
      <c r="B438" t="inlineStr">
        <is>
          <t>Other Withdrawals - Mobile Banking Transfer To Account 152316875235 $</t>
        </is>
      </c>
      <c r="C438" t="n">
        <v>200</v>
      </c>
      <c r="D438" t="inlineStr">
        <is>
          <t>Debit</t>
        </is>
      </c>
      <c r="E438" t="inlineStr">
        <is>
          <t>Transfer</t>
        </is>
      </c>
      <c r="F438">
        <f>IF(E438="Income","Revenue",IF(OR(E438="Materials",E438="Labor",E438="Dump Fees"),"COGS",IF(OR(E438="Fuel",E438="Insurance",E438="Tools",E438="Repairs"),"Expense","Non-Deductible")))</f>
        <v/>
      </c>
    </row>
    <row r="439">
      <c r="A439" s="5" t="n">
        <v>45903</v>
      </c>
      <c r="B439" t="inlineStr">
        <is>
          <t>Other Withdrawals - Electronic Withdrawal To DISCOVER</t>
        </is>
      </c>
      <c r="C439" t="n">
        <v>138.86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</row>
    <row r="440">
      <c r="A440" s="5" t="n">
        <v>45904</v>
      </c>
      <c r="B440" t="inlineStr">
        <is>
          <t>Other Withdrawals - Mobile Banking Payment To Credit Card *************3424</t>
        </is>
      </c>
      <c r="C440" t="n">
        <v>50</v>
      </c>
      <c r="D440" t="inlineStr">
        <is>
          <t>Debit</t>
        </is>
      </c>
      <c r="E440" t="inlineStr">
        <is>
          <t>Fuel</t>
        </is>
      </c>
      <c r="F440">
        <f>IF(E440="Income","Revenue",IF(OR(E440="Materials",E440="Labor",E440="Dump Fees"),"COGS",IF(OR(E440="Fuel",E440="Insurance",E440="Tools",E440="Repairs"),"Expense","Non-Deductible")))</f>
        <v/>
      </c>
    </row>
    <row r="441">
      <c r="A441" s="5" t="n">
        <v>45904</v>
      </c>
      <c r="B441" t="inlineStr">
        <is>
          <t>Other Withdrawals - Mobile Banking Payment To Credit Card *************3424</t>
        </is>
      </c>
      <c r="C441" t="n">
        <v>100</v>
      </c>
      <c r="D441" t="inlineStr">
        <is>
          <t>Debit</t>
        </is>
      </c>
      <c r="E441" t="inlineStr">
        <is>
          <t>Fuel</t>
        </is>
      </c>
      <c r="F441">
        <f>IF(E441="Income","Revenue",IF(OR(E441="Materials",E441="Labor",E441="Dump Fees"),"COGS",IF(OR(E441="Fuel",E441="Insurance",E441="Tools",E441="Repairs"),"Expense","Non-Deductible")))</f>
        <v/>
      </c>
    </row>
    <row r="442">
      <c r="A442" s="5" t="n">
        <v>45904</v>
      </c>
      <c r="B442" t="inlineStr">
        <is>
          <t>Other Withdrawals - Mobile Banking Payment To Credit Card *************3424</t>
        </is>
      </c>
      <c r="C442" t="n">
        <v>250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</row>
    <row r="443">
      <c r="A443" s="5" t="n">
        <v>45904</v>
      </c>
      <c r="B443" t="inlineStr">
        <is>
          <t>Other Withdrawals - Mobile Banking Payment To Credit Card *************6452</t>
        </is>
      </c>
      <c r="C443" t="n">
        <v>1286.16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</row>
    <row r="444">
      <c r="A444" s="5" t="n">
        <v>45904</v>
      </c>
      <c r="B444" t="inlineStr">
        <is>
          <t>Other Withdrawals - Mobile Banking Transfer To Account 152316875235</t>
        </is>
      </c>
      <c r="C444" t="n">
        <v>5000</v>
      </c>
      <c r="D444" t="inlineStr">
        <is>
          <t>Debit</t>
        </is>
      </c>
      <c r="E444" t="inlineStr">
        <is>
          <t>Transfer</t>
        </is>
      </c>
      <c r="F444">
        <f>IF(E444="Income","Revenue",IF(OR(E444="Materials",E444="Labor",E444="Dump Fees"),"COGS",IF(OR(E444="Fuel",E444="Insurance",E444="Tools",E444="Repairs"),"Expense","Non-Deductible")))</f>
        <v/>
      </c>
    </row>
    <row r="445">
      <c r="A445" s="5" t="n">
        <v>45905</v>
      </c>
      <c r="B445" t="inlineStr">
        <is>
          <t>Other Withdrawals - 16,934.15 Sep15 17,999.23 Sep24</t>
        </is>
      </c>
      <c r="C445" t="n">
        <v>12887.54</v>
      </c>
      <c r="D445" t="inlineStr">
        <is>
          <t>Credit</t>
        </is>
      </c>
      <c r="E445" t="inlineStr">
        <is>
          <t>Income</t>
        </is>
      </c>
      <c r="F445">
        <f>IF(E445="Income","Revenue",IF(OR(E445="Materials",E445="Labor",E445="Dump Fees"),"COGS",IF(OR(E445="Fuel",E445="Insurance",E445="Tools",E445="Repairs"),"Expense","Non-Deductible")))</f>
        <v/>
      </c>
    </row>
    <row r="446">
      <c r="A446" s="5" t="n">
        <v>45905</v>
      </c>
      <c r="B446" t="inlineStr">
        <is>
          <t>Other Withdrawals - Electronic Withdrawal To DISCOVER</t>
        </is>
      </c>
      <c r="C446" t="n">
        <v>100</v>
      </c>
      <c r="D446" t="inlineStr">
        <is>
          <t>Debit</t>
        </is>
      </c>
      <c r="E446" t="inlineStr">
        <is>
          <t>Tools</t>
        </is>
      </c>
      <c r="F446">
        <f>IF(E446="Income","Revenue",IF(OR(E446="Materials",E446="Labor",E446="Dump Fees"),"COGS",IF(OR(E446="Fuel",E446="Insurance",E446="Tools",E446="Repairs"),"Expense","Non-Deductible")))</f>
        <v/>
      </c>
    </row>
    <row r="447">
      <c r="A447" s="5" t="n">
        <v>45905</v>
      </c>
      <c r="B447" t="inlineStr">
        <is>
          <t>Other Withdrawals - Electronic Withdrawal To MERCURY CARD FBT</t>
        </is>
      </c>
      <c r="C447" t="n">
        <v>500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</row>
    <row r="448">
      <c r="A448" s="5" t="n">
        <v>45905</v>
      </c>
      <c r="B448" t="inlineStr">
        <is>
          <t>Other Withdrawals - Zelle Instant PMT To Brian Davis</t>
        </is>
      </c>
      <c r="C448" t="n">
        <v>1400</v>
      </c>
      <c r="D448" t="inlineStr">
        <is>
          <t>Debit</t>
        </is>
      </c>
      <c r="E448" t="inlineStr">
        <is>
          <t>Labor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>
        <is>
          <t>Bryan</t>
        </is>
      </c>
    </row>
    <row r="449">
      <c r="A449" s="5" t="n">
        <v>45908</v>
      </c>
      <c r="B449" t="inlineStr">
        <is>
          <t>Other Withdrawals - 16,108.15 Sep17 14,627.54 Sep25</t>
        </is>
      </c>
      <c r="C449" t="n">
        <v>12672.54</v>
      </c>
      <c r="D449" t="inlineStr">
        <is>
          <t>Credit</t>
        </is>
      </c>
      <c r="E449" t="inlineStr">
        <is>
          <t>Income</t>
        </is>
      </c>
      <c r="F449">
        <f>IF(E449="Income","Revenue",IF(OR(E449="Materials",E449="Labor",E449="Dump Fees"),"COGS",IF(OR(E449="Fuel",E449="Insurance",E449="Tools",E449="Repairs"),"Expense","Non-Deductible")))</f>
        <v/>
      </c>
    </row>
    <row r="450">
      <c r="A450" s="5" t="n">
        <v>45908</v>
      </c>
      <c r="B450" t="inlineStr">
        <is>
          <t>Other Withdrawals - Zelle Instant PMT To Nadia Session</t>
        </is>
      </c>
      <c r="C450" t="n">
        <v>100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</row>
    <row r="451">
      <c r="A451" s="5" t="n">
        <v>45908</v>
      </c>
      <c r="B451" t="inlineStr">
        <is>
          <t>Other Withdrawals - Zelle Instant PMT To Nadia Session</t>
        </is>
      </c>
      <c r="C451" t="n">
        <v>487</v>
      </c>
      <c r="D451" t="inlineStr">
        <is>
          <t>Debit</t>
        </is>
      </c>
      <c r="E451" t="inlineStr">
        <is>
          <t>Tools</t>
        </is>
      </c>
      <c r="F451">
        <f>IF(E451="Income","Revenue",IF(OR(E451="Materials",E451="Labor",E451="Dump Fees"),"COGS",IF(OR(E451="Fuel",E451="Insurance",E451="Tools",E451="Repairs"),"Expense","Non-Deductible")))</f>
        <v/>
      </c>
    </row>
    <row r="452">
      <c r="A452" s="5" t="n">
        <v>45908</v>
      </c>
      <c r="B452" t="inlineStr">
        <is>
          <t>Other Withdrawals - Zelle Instant PMT To Tabitha Session</t>
        </is>
      </c>
      <c r="C452" t="n">
        <v>239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</row>
    <row r="453">
      <c r="A453" s="5" t="n">
        <v>45909</v>
      </c>
      <c r="B453" t="inlineStr">
        <is>
          <t>Other Withdrawals - 14,565.69 Sep19 13,537.54 Sep26</t>
        </is>
      </c>
      <c r="C453" t="n">
        <v>13006.1</v>
      </c>
      <c r="D453" t="inlineStr">
        <is>
          <t>Credit</t>
        </is>
      </c>
      <c r="E453" t="inlineStr">
        <is>
          <t>Income</t>
        </is>
      </c>
      <c r="F453">
        <f>IF(E453="Income","Revenue",IF(OR(E453="Materials",E453="Labor",E453="Dump Fees"),"COGS",IF(OR(E453="Fuel",E453="Insurance",E453="Tools",E453="Repairs"),"Expense","Non-Deductible")))</f>
        <v/>
      </c>
    </row>
    <row r="454">
      <c r="A454" s="5" t="n">
        <v>45909</v>
      </c>
      <c r="B454" t="inlineStr">
        <is>
          <t>Other Withdrawals - Electronic Withdrawal To CEFCU TEL DEBIT</t>
        </is>
      </c>
      <c r="C454" t="n">
        <v>1042.46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</row>
    <row r="455">
      <c r="A455" s="5" t="n">
        <v>45909</v>
      </c>
      <c r="B455" t="inlineStr">
        <is>
          <t>Other Withdrawals - Electronic Withdrawal To MERCURY CARD FBT</t>
        </is>
      </c>
      <c r="C455" t="n">
        <v>500</v>
      </c>
      <c r="D455" t="inlineStr">
        <is>
          <t>Debit</t>
        </is>
      </c>
      <c r="E455" t="inlineStr">
        <is>
          <t>Tools</t>
        </is>
      </c>
      <c r="F455">
        <f>IF(E455="Income","Revenue",IF(OR(E455="Materials",E455="Labor",E455="Dump Fees"),"COGS",IF(OR(E455="Fuel",E455="Insurance",E455="Tools",E455="Repairs"),"Expense","Non-Deductible")))</f>
        <v/>
      </c>
    </row>
    <row r="456">
      <c r="A456" s="5" t="n">
        <v>45931</v>
      </c>
      <c r="B456" t="inlineStr">
        <is>
          <t>Card Withdrawals - Debit Purchase TRACTOR SUPPLY # BELLEVILLE IL 6809301853 $</t>
        </is>
      </c>
      <c r="C456" t="n">
        <v>139.93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</row>
    <row r="457">
      <c r="A457" s="5" t="n">
        <v>45931</v>
      </c>
      <c r="B457" t="inlineStr">
        <is>
          <t>Other Withdrawals - Electronic Withdrawal To STATE FARM RO 27 $</t>
        </is>
      </c>
      <c r="C457" t="n">
        <v>294.97</v>
      </c>
      <c r="D457" t="inlineStr">
        <is>
          <t>Debit</t>
        </is>
      </c>
      <c r="E457" t="inlineStr">
        <is>
          <t>Insurance</t>
        </is>
      </c>
      <c r="F457">
        <f>IF(E457="Income","Revenue",IF(OR(E457="Materials",E457="Labor",E457="Dump Fees"),"COGS",IF(OR(E457="Fuel",E457="Insurance",E457="Tools",E457="Repairs"),"Expense","Non-Deductible")))</f>
        <v/>
      </c>
    </row>
    <row r="458">
      <c r="A458" s="5" t="n">
        <v>45931</v>
      </c>
      <c r="B458" t="inlineStr">
        <is>
          <t>Other Withdrawals - Mobile Banking Transfer To Account 152316875235</t>
        </is>
      </c>
      <c r="C458" t="n">
        <v>435</v>
      </c>
      <c r="D458" t="inlineStr">
        <is>
          <t>Debit</t>
        </is>
      </c>
      <c r="E458" t="inlineStr">
        <is>
          <t>Transfer</t>
        </is>
      </c>
      <c r="F458">
        <f>IF(E458="Income","Revenue",IF(OR(E458="Materials",E458="Labor",E458="Dump Fees"),"COGS",IF(OR(E458="Fuel",E458="Insurance",E458="Tools",E458="Repairs"),"Expense","Non-Deductible")))</f>
        <v/>
      </c>
    </row>
    <row r="459">
      <c r="A459" s="5" t="n">
        <v>45932</v>
      </c>
      <c r="B459" t="inlineStr">
        <is>
          <t>Card Withdrawals - Debit Purchase - VISA On 100125 LITCHFIELD IL 5000029406</t>
        </is>
      </c>
      <c r="C459" t="n">
        <v>7.78</v>
      </c>
      <c r="D459" t="inlineStr">
        <is>
          <t>Debit</t>
        </is>
      </c>
      <c r="E459" t="inlineStr">
        <is>
          <t>Tools</t>
        </is>
      </c>
      <c r="F459">
        <f>IF(E459="Income","Revenue",IF(OR(E459="Materials",E459="Labor",E459="Dump Fees"),"COGS",IF(OR(E459="Fuel",E459="Insurance",E459="Tools",E459="Repairs"),"Expense","Non-Deductible")))</f>
        <v/>
      </c>
    </row>
    <row r="460">
      <c r="A460" s="5" t="n">
        <v>45932</v>
      </c>
      <c r="B460" t="inlineStr">
        <is>
          <t>Other Deposits - Mobile Banking Transfer From Account 152316874980</t>
        </is>
      </c>
      <c r="C460" t="n">
        <v>11000</v>
      </c>
      <c r="D460" t="inlineStr">
        <is>
          <t>Credit</t>
        </is>
      </c>
      <c r="E460" t="inlineStr">
        <is>
          <t>Transfer</t>
        </is>
      </c>
      <c r="F460">
        <f>IF(E460="Income","Revenue",IF(OR(E460="Materials",E460="Labor",E460="Dump Fees"),"COGS",IF(OR(E460="Fuel",E460="Insurance",E460="Tools",E460="Repairs"),"Expense","Non-Deductible")))</f>
        <v/>
      </c>
    </row>
    <row r="461">
      <c r="A461" s="5" t="n">
        <v>45932</v>
      </c>
      <c r="B461" t="inlineStr">
        <is>
          <t>Other Deposits - Real Time Payment Credit From VENMO $</t>
        </is>
      </c>
      <c r="C461" t="n">
        <v>3652</v>
      </c>
      <c r="D461" t="inlineStr">
        <is>
          <t>Credit</t>
        </is>
      </c>
      <c r="E461" t="inlineStr">
        <is>
          <t>Income</t>
        </is>
      </c>
      <c r="F461">
        <f>IF(E461="Income","Revenue",IF(OR(E461="Materials",E461="Labor",E461="Dump Fees"),"COGS",IF(OR(E461="Fuel",E461="Insurance",E461="Tools",E461="Repairs"),"Expense","Non-Deductible")))</f>
        <v/>
      </c>
    </row>
    <row r="462">
      <c r="A462" s="5" t="n">
        <v>45932</v>
      </c>
      <c r="B462" t="inlineStr">
        <is>
          <t>Other Withdrawals - Mobile Banking Payment To Credit Card *************3424</t>
        </is>
      </c>
      <c r="C462" t="n">
        <v>1500</v>
      </c>
      <c r="D462" t="inlineStr">
        <is>
          <t>Debit</t>
        </is>
      </c>
      <c r="E462" t="inlineStr">
        <is>
          <t>Fuel</t>
        </is>
      </c>
      <c r="F462">
        <f>IF(E462="Income","Revenue",IF(OR(E462="Materials",E462="Labor",E462="Dump Fees"),"COGS",IF(OR(E462="Fuel",E462="Insurance",E462="Tools",E462="Repairs"),"Expense","Non-Deductible")))</f>
        <v/>
      </c>
    </row>
    <row r="463">
      <c r="A463" s="5" t="n">
        <v>45932</v>
      </c>
      <c r="B463" t="inlineStr">
        <is>
          <t>Other Withdrawals - Mobile Banking Payment To Credit Card *************6452</t>
        </is>
      </c>
      <c r="C463" t="n">
        <v>1262.46</v>
      </c>
      <c r="D463" t="inlineStr">
        <is>
          <t>Debit</t>
        </is>
      </c>
      <c r="E463" t="inlineStr">
        <is>
          <t>Fuel</t>
        </is>
      </c>
      <c r="F463">
        <f>IF(E463="Income","Revenue",IF(OR(E463="Materials",E463="Labor",E463="Dump Fees"),"COGS",IF(OR(E463="Fuel",E463="Insurance",E463="Tools",E463="Repairs"),"Expense","Non-Deductible")))</f>
        <v/>
      </c>
    </row>
    <row r="464">
      <c r="A464" s="5" t="n">
        <v>45932</v>
      </c>
      <c r="B464" t="inlineStr">
        <is>
          <t>Other Withdrawals - Mobile Banking Payment To Credit Card *************9563</t>
        </is>
      </c>
      <c r="C464" t="n">
        <v>190.06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</row>
    <row r="465">
      <c r="A465" s="5" t="n">
        <v>45932</v>
      </c>
      <c r="B465" t="inlineStr">
        <is>
          <t>Other Withdrawals - Mobile Banking Transfer To Account 152316875235</t>
        </is>
      </c>
      <c r="C465" t="n">
        <v>320</v>
      </c>
      <c r="D465" t="inlineStr">
        <is>
          <t>Debit</t>
        </is>
      </c>
      <c r="E465" t="inlineStr">
        <is>
          <t>Transfer</t>
        </is>
      </c>
      <c r="F465">
        <f>IF(E465="Income","Revenue",IF(OR(E465="Materials",E465="Labor",E465="Dump Fees"),"COGS",IF(OR(E465="Fuel",E465="Insurance",E465="Tools",E465="Repairs"),"Expense","Non-Deductible")))</f>
        <v/>
      </c>
    </row>
    <row r="466">
      <c r="A466" s="5" t="n">
        <v>45933</v>
      </c>
      <c r="B466" t="inlineStr">
        <is>
          <t>Card Withdrawals - Debit Purchase - VISA On 100125 Springfield IL 5100512526</t>
        </is>
      </c>
      <c r="C466" t="n">
        <v>148.31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</row>
    <row r="467">
      <c r="A467" s="5" t="n">
        <v>45933</v>
      </c>
      <c r="B467" t="inlineStr">
        <is>
          <t>Other Withdrawals - Electronic Withdrawal To DISCOVER</t>
        </is>
      </c>
      <c r="C467" t="n">
        <v>162.61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</row>
    <row r="468">
      <c r="A468" s="5" t="n">
        <v>45933</v>
      </c>
      <c r="B468" t="inlineStr">
        <is>
          <t>Other Withdrawals - Electronic Withdrawal To DISCOVER</t>
        </is>
      </c>
      <c r="C468" t="n">
        <v>2000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</row>
    <row r="469">
      <c r="A469" s="5" t="n">
        <v>45933</v>
      </c>
      <c r="B469" t="inlineStr">
        <is>
          <t>Other Withdrawals - Electronic Withdrawal To MERCURY CARD FBT</t>
        </is>
      </c>
      <c r="C469" t="n">
        <v>1253.17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</row>
    <row r="470">
      <c r="A470" s="5" t="n">
        <v>45933</v>
      </c>
      <c r="B470" t="inlineStr">
        <is>
          <t>Other Withdrawals - Zelle Instant PMT To Brian Davis</t>
        </is>
      </c>
      <c r="C470" t="n">
        <v>1050</v>
      </c>
      <c r="D470" t="inlineStr">
        <is>
          <t>Debit</t>
        </is>
      </c>
      <c r="E470" t="inlineStr">
        <is>
          <t>Labor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>
        <is>
          <t>Bryan</t>
        </is>
      </c>
    </row>
    <row r="471">
      <c r="A471" s="5" t="n">
        <v>45933</v>
      </c>
      <c r="B471" t="inlineStr">
        <is>
          <t>Other Withdrawals - Zelle Instant PMT To Casey Williamson</t>
        </is>
      </c>
      <c r="C471" t="n">
        <v>400</v>
      </c>
      <c r="D471" t="inlineStr">
        <is>
          <t>Debit</t>
        </is>
      </c>
      <c r="E471" t="inlineStr">
        <is>
          <t>Labor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>
        <is>
          <t>Casey</t>
        </is>
      </c>
    </row>
    <row r="472">
      <c r="A472" s="5" t="n">
        <v>45936</v>
      </c>
      <c r="B472" t="inlineStr">
        <is>
          <t>Card Withdrawals - Debit Purchase - VISA On 100325 COLLINSVILLE IL 7501435857</t>
        </is>
      </c>
      <c r="C472" t="n">
        <v>242.02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</row>
    <row r="473">
      <c r="A473" s="5" t="n">
        <v>45936</v>
      </c>
      <c r="B473" t="inlineStr">
        <is>
          <t>Other Withdrawals - Electronic Withdrawal To CEFCU TEL DEBIT</t>
        </is>
      </c>
      <c r="C473" t="n">
        <v>1042.46</v>
      </c>
      <c r="D473" t="inlineStr">
        <is>
          <t>Debit</t>
        </is>
      </c>
      <c r="E473" t="inlineStr">
        <is>
          <t>Tools</t>
        </is>
      </c>
      <c r="F473">
        <f>IF(E473="Income","Revenue",IF(OR(E473="Materials",E473="Labor",E473="Dump Fees"),"COGS",IF(OR(E473="Fuel",E473="Insurance",E473="Tools",E473="Repairs"),"Expense","Non-Deductible")))</f>
        <v/>
      </c>
    </row>
    <row r="474">
      <c r="A474" s="5" t="n">
        <v>45937</v>
      </c>
      <c r="B474" t="inlineStr">
        <is>
          <t>Other Withdrawals - Mobile Banking Transfer To Account 152316874980</t>
        </is>
      </c>
      <c r="C474" t="n">
        <v>25</v>
      </c>
      <c r="D474" t="inlineStr">
        <is>
          <t>Debit</t>
        </is>
      </c>
      <c r="E474" t="inlineStr">
        <is>
          <t>Transfer</t>
        </is>
      </c>
      <c r="F474">
        <f>IF(E474="Income","Revenue",IF(OR(E474="Materials",E474="Labor",E474="Dump Fees"),"COGS",IF(OR(E474="Fuel",E474="Insurance",E474="Tools",E474="Repairs"),"Expense","Non-Deductible")))</f>
        <v/>
      </c>
    </row>
    <row r="475">
      <c r="A475" s="5" t="n">
        <v>45937</v>
      </c>
      <c r="B475" t="inlineStr">
        <is>
          <t>Other Withdrawals - Mobile Banking Transfer To Account 152316875235</t>
        </is>
      </c>
      <c r="C475" t="n">
        <v>250</v>
      </c>
      <c r="D475" t="inlineStr">
        <is>
          <t>Debit</t>
        </is>
      </c>
      <c r="E475" t="inlineStr">
        <is>
          <t>Transfer</t>
        </is>
      </c>
      <c r="F475">
        <f>IF(E475="Income","Revenue",IF(OR(E475="Materials",E475="Labor",E475="Dump Fees"),"COGS",IF(OR(E475="Fuel",E475="Insurance",E475="Tools",E475="Repairs"),"Expense","Non-Deductible")))</f>
        <v/>
      </c>
    </row>
    <row r="476">
      <c r="A476" s="5" t="n">
        <v>45938</v>
      </c>
      <c r="B476" t="inlineStr">
        <is>
          <t>Other Withdrawals - Zelle Instant PMT To Tabitha Session</t>
        </is>
      </c>
      <c r="C476" t="n">
        <v>240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</row>
    <row r="477">
      <c r="A477" s="5" t="n">
        <v>45940</v>
      </c>
      <c r="B477" t="inlineStr">
        <is>
          <t>Other Withdrawals - Mobile Banking Transfer To Account 152316875235</t>
        </is>
      </c>
      <c r="C477" t="n">
        <v>400</v>
      </c>
      <c r="D477" t="inlineStr">
        <is>
          <t>Debit</t>
        </is>
      </c>
      <c r="E477" t="inlineStr">
        <is>
          <t>Transfer</t>
        </is>
      </c>
      <c r="F477">
        <f>IF(E477="Income","Revenue",IF(OR(E477="Materials",E477="Labor",E477="Dump Fees"),"COGS",IF(OR(E477="Fuel",E477="Insurance",E477="Tools",E477="Repairs"),"Expense","Non-Deductible")))</f>
        <v/>
      </c>
    </row>
    <row r="478">
      <c r="A478" s="5" t="n">
        <v>45940</v>
      </c>
      <c r="B478" t="inlineStr">
        <is>
          <t>Other Withdrawals - Zelle Instant PMT To Brian Davis</t>
        </is>
      </c>
      <c r="C478" t="n">
        <v>1050</v>
      </c>
      <c r="D478" t="inlineStr">
        <is>
          <t>Debit</t>
        </is>
      </c>
      <c r="E478" t="inlineStr">
        <is>
          <t>Labor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>
        <is>
          <t>Bryan</t>
        </is>
      </c>
    </row>
    <row r="479">
      <c r="A479" s="5" t="n">
        <v>45940</v>
      </c>
      <c r="B479" t="inlineStr">
        <is>
          <t>Other Withdrawals - Zelle Instant PMT To Casey Williamson</t>
        </is>
      </c>
      <c r="C479" t="n">
        <v>260</v>
      </c>
      <c r="D479" t="inlineStr">
        <is>
          <t>Debit</t>
        </is>
      </c>
      <c r="E479" t="inlineStr">
        <is>
          <t>Labor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>
        <is>
          <t>Casey</t>
        </is>
      </c>
    </row>
    <row r="480">
      <c r="A480" s="5" t="n">
        <v>45944</v>
      </c>
      <c r="B480" t="inlineStr">
        <is>
          <t>Card Withdrawals - Debit Purchase - VISA On 101125 SAINT LOUIS MO 5018029259</t>
        </is>
      </c>
      <c r="C480" t="n">
        <v>251.45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</row>
    <row r="481">
      <c r="A481" s="5" t="n">
        <v>45944</v>
      </c>
      <c r="B481" t="inlineStr">
        <is>
          <t>Card Withdrawals - Debit Purchase - VISA On 101225 FREEBURG IL 6500855478</t>
        </is>
      </c>
      <c r="C481" t="n">
        <v>16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</row>
    <row r="482">
      <c r="A482" s="5" t="n">
        <v>45944</v>
      </c>
      <c r="B482" t="inlineStr">
        <is>
          <t>Card Withdrawals - Debit Purchase - VISA On 101225 SAINT LOUIS MO 5100438721</t>
        </is>
      </c>
      <c r="C482" t="n">
        <v>78.01000000000001</v>
      </c>
      <c r="D482" t="inlineStr">
        <is>
          <t>Debit</t>
        </is>
      </c>
      <c r="E482" t="inlineStr">
        <is>
          <t>Tools</t>
        </is>
      </c>
      <c r="F482">
        <f>IF(E482="Income","Revenue",IF(OR(E482="Materials",E482="Labor",E482="Dump Fees"),"COGS",IF(OR(E482="Fuel",E482="Insurance",E482="Tools",E482="Repairs"),"Expense","Non-Deductible")))</f>
        <v/>
      </c>
    </row>
    <row r="483">
      <c r="A483" s="5" t="n">
        <v>45944</v>
      </c>
      <c r="B483" t="inlineStr">
        <is>
          <t>Card Withdrawals - Debit Purchase MILLSTADT IGA MILLSTADT IL 6610141554</t>
        </is>
      </c>
      <c r="C483" t="n">
        <v>262.38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</row>
    <row r="484">
      <c r="A484" s="5" t="n">
        <v>45944</v>
      </c>
      <c r="B484" t="inlineStr">
        <is>
          <t>Other Withdrawals - Electronic Withdrawal To BEST BUY</t>
        </is>
      </c>
      <c r="C484" t="n">
        <v>200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</row>
    <row r="485">
      <c r="A485" s="5" t="n">
        <v>45944</v>
      </c>
      <c r="B485" t="inlineStr">
        <is>
          <t>Other Withdrawals - Mobile Banking Transfer To Account 152316875235</t>
        </is>
      </c>
      <c r="C485" t="n">
        <v>200</v>
      </c>
      <c r="D485" t="inlineStr">
        <is>
          <t>Debit</t>
        </is>
      </c>
      <c r="E485" t="inlineStr">
        <is>
          <t>Transfer</t>
        </is>
      </c>
      <c r="F485">
        <f>IF(E485="Income","Revenue",IF(OR(E485="Materials",E485="Labor",E485="Dump Fees"),"COGS",IF(OR(E485="Fuel",E485="Insurance",E485="Tools",E485="Repairs"),"Expense","Non-Deductible")))</f>
        <v/>
      </c>
    </row>
    <row r="486">
      <c r="A486" s="5" t="n">
        <v>45944</v>
      </c>
      <c r="B486" t="inlineStr">
        <is>
          <t>Other Withdrawals - Mobile Banking Transfer To Account 152316875235</t>
        </is>
      </c>
      <c r="C486" t="n">
        <v>300</v>
      </c>
      <c r="D486" t="inlineStr">
        <is>
          <t>Debit</t>
        </is>
      </c>
      <c r="E486" t="inlineStr">
        <is>
          <t>Transfer</t>
        </is>
      </c>
      <c r="F486">
        <f>IF(E486="Income","Revenue",IF(OR(E486="Materials",E486="Labor",E486="Dump Fees"),"COGS",IF(OR(E486="Fuel",E486="Insurance",E486="Tools",E486="Repairs"),"Expense","Non-Deductible")))</f>
        <v/>
      </c>
    </row>
    <row r="487">
      <c r="A487" s="5" t="n">
        <v>45944</v>
      </c>
      <c r="B487" t="inlineStr">
        <is>
          <t>Other Withdrawals - Mobile Banking Transfer To Account 152316875235</t>
        </is>
      </c>
      <c r="C487" t="n">
        <v>325</v>
      </c>
      <c r="D487" t="inlineStr">
        <is>
          <t>Debit</t>
        </is>
      </c>
      <c r="E487" t="inlineStr">
        <is>
          <t>Transfer</t>
        </is>
      </c>
      <c r="F487">
        <f>IF(E487="Income","Revenue",IF(OR(E487="Materials",E487="Labor",E487="Dump Fees"),"COGS",IF(OR(E487="Fuel",E487="Insurance",E487="Tools",E487="Repairs"),"Expense","Non-Deductible")))</f>
        <v/>
      </c>
    </row>
    <row r="488">
      <c r="A488" s="5" t="n">
        <v>45945</v>
      </c>
      <c r="B488" t="inlineStr">
        <is>
          <t>Card Withdrawals - Debit Purchase - VISA On 101425 NEW ATHENS IL 8514912504</t>
        </is>
      </c>
      <c r="C488" t="n">
        <v>214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</row>
    <row r="489">
      <c r="A489" s="5" t="n">
        <v>45945</v>
      </c>
      <c r="B489" t="inlineStr">
        <is>
          <t>Card Withdrawals - Debit Purchase DOLLAR GENERAL # NEW ATHENS IL 0810151213</t>
        </is>
      </c>
      <c r="C489" t="n">
        <v>36.86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</row>
    <row r="490">
      <c r="A490" s="5" t="n">
        <v>45946</v>
      </c>
      <c r="B490" t="inlineStr">
        <is>
          <t>Other Deposits - Mobile Check Deposit 8950419224</t>
        </is>
      </c>
      <c r="C490" t="n">
        <v>9275</v>
      </c>
      <c r="D490" t="inlineStr">
        <is>
          <t>Credit</t>
        </is>
      </c>
      <c r="E490" t="inlineStr">
        <is>
          <t>Income</t>
        </is>
      </c>
      <c r="F490">
        <f>IF(E490="Income","Revenue",IF(OR(E490="Materials",E490="Labor",E490="Dump Fees"),"COGS",IF(OR(E490="Fuel",E490="Insurance",E490="Tools",E490="Repairs"),"Expense","Non-Deductible")))</f>
        <v/>
      </c>
    </row>
    <row r="491">
      <c r="A491" s="5" t="n">
        <v>45947</v>
      </c>
      <c r="B491" t="inlineStr">
        <is>
          <t>Card Withdrawals - Debit Purchase CIRCLE K # 01461 BELLEVILLE IL</t>
        </is>
      </c>
      <c r="C491" t="n">
        <v>51.24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</row>
    <row r="492">
      <c r="A492" s="5" t="n">
        <v>45947</v>
      </c>
      <c r="B492" t="inlineStr">
        <is>
          <t>Card Withdrawals - Debit Purchase CIRCLE K # 01461 BELLEVILLE IL</t>
        </is>
      </c>
      <c r="C492" t="n">
        <v>91.47</v>
      </c>
      <c r="D492" t="inlineStr">
        <is>
          <t>Debit</t>
        </is>
      </c>
      <c r="E492" t="inlineStr">
        <is>
          <t>Tools</t>
        </is>
      </c>
      <c r="F492">
        <f>IF(E492="Income","Revenue",IF(OR(E492="Materials",E492="Labor",E492="Dump Fees"),"COGS",IF(OR(E492="Fuel",E492="Insurance",E492="Tools",E492="Repairs"),"Expense","Non-Deductible")))</f>
        <v/>
      </c>
    </row>
    <row r="493">
      <c r="A493" s="5" t="n">
        <v>45947</v>
      </c>
      <c r="B493" t="inlineStr">
        <is>
          <t>Other Withdrawals - Mobile Banking Payment To Credit Card *************3424</t>
        </is>
      </c>
      <c r="C493" t="n">
        <v>600</v>
      </c>
      <c r="D493" t="inlineStr">
        <is>
          <t>Debit</t>
        </is>
      </c>
      <c r="E493" t="inlineStr">
        <is>
          <t>Fuel</t>
        </is>
      </c>
      <c r="F493">
        <f>IF(E493="Income","Revenue",IF(OR(E493="Materials",E493="Labor",E493="Dump Fees"),"COGS",IF(OR(E493="Fuel",E493="Insurance",E493="Tools",E493="Repairs"),"Expense","Non-Deductible")))</f>
        <v/>
      </c>
    </row>
    <row r="494">
      <c r="A494" s="5" t="n">
        <v>45947</v>
      </c>
      <c r="B494" t="inlineStr">
        <is>
          <t>Other Withdrawals - Mobile Banking Payment To Credit Card *************6452</t>
        </is>
      </c>
      <c r="C494" t="n">
        <v>1374.46</v>
      </c>
      <c r="D494" t="inlineStr">
        <is>
          <t>Debit</t>
        </is>
      </c>
      <c r="E494" t="inlineStr">
        <is>
          <t>Fuel</t>
        </is>
      </c>
      <c r="F494">
        <f>IF(E494="Income","Revenue",IF(OR(E494="Materials",E494="Labor",E494="Dump Fees"),"COGS",IF(OR(E494="Fuel",E494="Insurance",E494="Tools",E494="Repairs"),"Expense","Non-Deductible")))</f>
        <v/>
      </c>
    </row>
    <row r="495">
      <c r="A495" s="5" t="n">
        <v>45947</v>
      </c>
      <c r="B495" t="inlineStr">
        <is>
          <t>Other Withdrawals - Mobile Banking Payment To Credit Card *************9563</t>
        </is>
      </c>
      <c r="C495" t="n">
        <v>484.89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</row>
    <row r="496">
      <c r="A496" s="5" t="n">
        <v>45947</v>
      </c>
      <c r="B496" t="inlineStr">
        <is>
          <t>Other Withdrawals - Mobile Banking Transfer To Account 152316875235</t>
        </is>
      </c>
      <c r="C496" t="n">
        <v>250</v>
      </c>
      <c r="D496" t="inlineStr">
        <is>
          <t>Debit</t>
        </is>
      </c>
      <c r="E496" t="inlineStr">
        <is>
          <t>Transfer</t>
        </is>
      </c>
      <c r="F496">
        <f>IF(E496="Income","Revenue",IF(OR(E496="Materials",E496="Labor",E496="Dump Fees"),"COGS",IF(OR(E496="Fuel",E496="Insurance",E496="Tools",E496="Repairs"),"Expense","Non-Deductible")))</f>
        <v/>
      </c>
    </row>
    <row r="497">
      <c r="A497" s="5" t="n">
        <v>45947</v>
      </c>
      <c r="B497" t="inlineStr">
        <is>
          <t>Other Withdrawals - Mobile Banking Transfer To Account 152316875235</t>
        </is>
      </c>
      <c r="C497" t="n">
        <v>650</v>
      </c>
      <c r="D497" t="inlineStr">
        <is>
          <t>Debit</t>
        </is>
      </c>
      <c r="E497" t="inlineStr">
        <is>
          <t>Transfer</t>
        </is>
      </c>
      <c r="F497">
        <f>IF(E497="Income","Revenue",IF(OR(E497="Materials",E497="Labor",E497="Dump Fees"),"COGS",IF(OR(E497="Fuel",E497="Insurance",E497="Tools",E497="Repairs"),"Expense","Non-Deductible")))</f>
        <v/>
      </c>
    </row>
    <row r="498">
      <c r="A498" s="5" t="n">
        <v>45947</v>
      </c>
      <c r="B498" t="inlineStr">
        <is>
          <t>Other Withdrawals - Zelle Instant PMT To Brian Davis</t>
        </is>
      </c>
      <c r="C498" t="n">
        <v>1400</v>
      </c>
      <c r="D498" t="inlineStr">
        <is>
          <t>Debit</t>
        </is>
      </c>
      <c r="E498" t="inlineStr">
        <is>
          <t>Labor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>
        <is>
          <t>Bryan</t>
        </is>
      </c>
    </row>
    <row r="499">
      <c r="A499" s="5" t="n">
        <v>45947</v>
      </c>
      <c r="B499" t="inlineStr">
        <is>
          <t>Other Withdrawals - Zelle Instant PMT To Casey Williamson</t>
        </is>
      </c>
      <c r="C499" t="n">
        <v>1079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>
        <is>
          <t>Casey</t>
        </is>
      </c>
    </row>
    <row r="500">
      <c r="A500" s="5" t="n">
        <v>45950</v>
      </c>
      <c r="B500" t="inlineStr">
        <is>
          <t>Card Withdrawals - Debit Purchase - VISA On 101625 SAINT LOUIS MO 0003558208</t>
        </is>
      </c>
      <c r="C500" t="n">
        <v>35.54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</row>
    <row r="501">
      <c r="A501" s="5" t="n">
        <v>45950</v>
      </c>
      <c r="B501" t="inlineStr">
        <is>
          <t>Card Withdrawals - Debit Purchase MNRD-OFALLON 117 O'FALLON IL 3410200843</t>
        </is>
      </c>
      <c r="C501" t="n">
        <v>1850.47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</row>
    <row r="502">
      <c r="A502" s="5" t="n">
        <v>45950</v>
      </c>
      <c r="B502" t="inlineStr">
        <is>
          <t>Other Withdrawals - Electronic Withdrawal To MIDLAND MTG</t>
        </is>
      </c>
      <c r="C502" t="n">
        <v>964.5599999999999</v>
      </c>
      <c r="D502" t="inlineStr">
        <is>
          <t>Debit</t>
        </is>
      </c>
      <c r="E502" t="inlineStr">
        <is>
          <t>Tools</t>
        </is>
      </c>
      <c r="F502">
        <f>IF(E502="Income","Revenue",IF(OR(E502="Materials",E502="Labor",E502="Dump Fees"),"COGS",IF(OR(E502="Fuel",E502="Insurance",E502="Tools",E502="Repairs"),"Expense","Non-Deductible")))</f>
        <v/>
      </c>
    </row>
    <row r="503">
      <c r="A503" s="5" t="n">
        <v>45954</v>
      </c>
      <c r="B503" t="inlineStr">
        <is>
          <t>Card Withdrawals - Debit Purchase - VISA On 102225 FAIRVIEW HTS IL 6312628062</t>
        </is>
      </c>
      <c r="C503" t="n">
        <v>40.86</v>
      </c>
      <c r="D503" t="inlineStr">
        <is>
          <t>Debit</t>
        </is>
      </c>
      <c r="E503" t="inlineStr">
        <is>
          <t>Tools</t>
        </is>
      </c>
      <c r="F503">
        <f>IF(E503="Income","Revenue",IF(OR(E503="Materials",E503="Labor",E503="Dump Fees"),"COGS",IF(OR(E503="Fuel",E503="Insurance",E503="Tools",E503="Repairs"),"Expense","Non-Deductible")))</f>
        <v/>
      </c>
    </row>
    <row r="504">
      <c r="A504" s="5" t="n">
        <v>45954</v>
      </c>
      <c r="B504" t="inlineStr">
        <is>
          <t>Card Withdrawals - Debit Purchase - VISA On 102325 MASCOUTAH IL 7001045499</t>
        </is>
      </c>
      <c r="C504" t="n">
        <v>73.84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</row>
    <row r="505">
      <c r="A505" s="5" t="n">
        <v>45954</v>
      </c>
      <c r="B505" t="inlineStr">
        <is>
          <t>Card Withdrawals - Debit Purchase verifyvend855-55 PROVIDENCE RI 3210241502</t>
        </is>
      </c>
      <c r="C505" t="n">
        <v>90.28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</row>
    <row r="506">
      <c r="A506" s="5" t="n">
        <v>45954</v>
      </c>
      <c r="B506" t="inlineStr">
        <is>
          <t>Other Deposits - Mobile Check Deposit 9250095382</t>
        </is>
      </c>
      <c r="C506" t="n">
        <v>8683.82</v>
      </c>
      <c r="D506" t="inlineStr">
        <is>
          <t>Credit</t>
        </is>
      </c>
      <c r="E506" t="inlineStr">
        <is>
          <t>Income</t>
        </is>
      </c>
      <c r="F506">
        <f>IF(E506="Income","Revenue",IF(OR(E506="Materials",E506="Labor",E506="Dump Fees"),"COGS",IF(OR(E506="Fuel",E506="Insurance",E506="Tools",E506="Repairs"),"Expense","Non-Deductible")))</f>
        <v/>
      </c>
    </row>
    <row r="507">
      <c r="A507" s="5" t="n">
        <v>45954</v>
      </c>
      <c r="B507" t="inlineStr">
        <is>
          <t>Other Withdrawals - Mobile Banking Transfer To Account 152316874980</t>
        </is>
      </c>
      <c r="C507" t="n">
        <v>1000</v>
      </c>
      <c r="D507" t="inlineStr">
        <is>
          <t>Debit</t>
        </is>
      </c>
      <c r="E507" t="inlineStr">
        <is>
          <t>Transfer</t>
        </is>
      </c>
      <c r="F507">
        <f>IF(E507="Income","Revenue",IF(OR(E507="Materials",E507="Labor",E507="Dump Fees"),"COGS",IF(OR(E507="Fuel",E507="Insurance",E507="Tools",E507="Repairs"),"Expense","Non-Deductible")))</f>
        <v/>
      </c>
    </row>
    <row r="508">
      <c r="A508" s="5" t="n">
        <v>45954</v>
      </c>
      <c r="B508" t="inlineStr">
        <is>
          <t>Other Withdrawals - Mobile Banking Transfer To Account 252310110470</t>
        </is>
      </c>
      <c r="C508" t="n">
        <v>33</v>
      </c>
      <c r="D508" t="inlineStr">
        <is>
          <t>Debit</t>
        </is>
      </c>
      <c r="E508" t="inlineStr">
        <is>
          <t>Transfer</t>
        </is>
      </c>
      <c r="F508">
        <f>IF(E508="Income","Revenue",IF(OR(E508="Materials",E508="Labor",E508="Dump Fees"),"COGS",IF(OR(E508="Fuel",E508="Insurance",E508="Tools",E508="Repairs"),"Expense","Non-Deductible")))</f>
        <v/>
      </c>
    </row>
    <row r="509">
      <c r="A509" s="5" t="n">
        <v>45954</v>
      </c>
      <c r="B509" t="inlineStr">
        <is>
          <t>Other Withdrawals - Zelle Instant PMT To Brian Davis</t>
        </is>
      </c>
      <c r="C509" t="n">
        <v>1400</v>
      </c>
      <c r="D509" t="inlineStr">
        <is>
          <t>Debit</t>
        </is>
      </c>
      <c r="E509" t="inlineStr">
        <is>
          <t>Labor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>
        <is>
          <t>Bryan</t>
        </is>
      </c>
    </row>
    <row r="510">
      <c r="A510" s="5" t="n">
        <v>45954</v>
      </c>
      <c r="B510" t="inlineStr">
        <is>
          <t>Other Withdrawals - Zelle Instant PMT To Casey Williamson</t>
        </is>
      </c>
      <c r="C510" t="n">
        <v>975</v>
      </c>
      <c r="D510" t="inlineStr">
        <is>
          <t>Debit</t>
        </is>
      </c>
      <c r="E510" t="inlineStr">
        <is>
          <t>Labor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>
        <is>
          <t>Casey</t>
        </is>
      </c>
    </row>
    <row r="511">
      <c r="A511" s="5" t="n">
        <v>45957</v>
      </c>
      <c r="B511" t="inlineStr">
        <is>
          <t>Card Withdrawals - ATM Withdrawal 1291 OLD BALDWIN NEW ATHENS IL</t>
        </is>
      </c>
      <c r="C511" t="n">
        <v>203.25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</row>
    <row r="512">
      <c r="A512" s="5" t="n">
        <v>45957</v>
      </c>
      <c r="B512" t="inlineStr">
        <is>
          <t>Card Withdrawals - Debit Purchase - VISA On 102225 Freeburg IL 5109672285</t>
        </is>
      </c>
      <c r="C512" t="n">
        <v>72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</row>
    <row r="513">
      <c r="A513" s="5" t="n">
        <v>45957</v>
      </c>
      <c r="B513" t="inlineStr">
        <is>
          <t>Card Withdrawals - Debit Purchase - VISA On 102325 BELLEVILLE IL 8526475013</t>
        </is>
      </c>
      <c r="C513" t="n">
        <v>25.94</v>
      </c>
      <c r="D513" t="inlineStr">
        <is>
          <t>Debit</t>
        </is>
      </c>
      <c r="E513" t="inlineStr">
        <is>
          <t>Tools</t>
        </is>
      </c>
      <c r="F513">
        <f>IF(E513="Income","Revenue",IF(OR(E513="Materials",E513="Labor",E513="Dump Fees"),"COGS",IF(OR(E513="Fuel",E513="Insurance",E513="Tools",E513="Repairs"),"Expense","Non-Deductible")))</f>
        <v/>
      </c>
    </row>
    <row r="514">
      <c r="A514" s="5" t="n">
        <v>45957</v>
      </c>
      <c r="B514" t="inlineStr">
        <is>
          <t>Card Withdrawals - Debit Purchase - VISA On 102425 ST LOUIS MO 9103297909</t>
        </is>
      </c>
      <c r="C514" t="n">
        <v>13.44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</row>
    <row r="515">
      <c r="A515" s="5" t="n">
        <v>45957</v>
      </c>
      <c r="B515" t="inlineStr">
        <is>
          <t>Card Withdrawals - Debit Purchase - VISA On 102425 ST. LOUIS MO 9030068221</t>
        </is>
      </c>
      <c r="C515" t="n">
        <v>100.98</v>
      </c>
      <c r="D515" t="inlineStr">
        <is>
          <t>Debit</t>
        </is>
      </c>
      <c r="E515" t="inlineStr">
        <is>
          <t>Tools</t>
        </is>
      </c>
      <c r="F515">
        <f>IF(E515="Income","Revenue",IF(OR(E515="Materials",E515="Labor",E515="Dump Fees"),"COGS",IF(OR(E515="Fuel",E515="Insurance",E515="Tools",E515="Repairs"),"Expense","Non-Deductible")))</f>
        <v/>
      </c>
    </row>
    <row r="516">
      <c r="A516" s="5" t="n">
        <v>45957</v>
      </c>
      <c r="B516" t="inlineStr">
        <is>
          <t>Card Withdrawals - Debit Purchase - VISA On 102525 NEW ATHENS IL 9300679289</t>
        </is>
      </c>
      <c r="C516" t="n">
        <v>86.92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</row>
    <row r="517">
      <c r="A517" s="5" t="n">
        <v>45957</v>
      </c>
      <c r="B517" t="inlineStr">
        <is>
          <t>Card Withdrawals - Debit Purchase QT 651 OUTSIDE ST LOUIS MO 7610242227</t>
        </is>
      </c>
      <c r="C517" t="n">
        <v>34.59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</row>
    <row r="518">
      <c r="A518" s="5" t="n">
        <v>45957</v>
      </c>
      <c r="B518" t="inlineStr">
        <is>
          <t>Card Withdrawals - Fee ATM Withdrawal At Other Network 2700003661 $</t>
        </is>
      </c>
      <c r="C518" t="n">
        <v>3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</row>
    <row r="519">
      <c r="A519" s="5" t="n">
        <v>45958</v>
      </c>
      <c r="B519" t="inlineStr">
        <is>
          <t>Card Withdrawals - Debit Purchase - VISA On 102725 FAIRVIEW HEI IL 0529284866</t>
        </is>
      </c>
      <c r="C519" t="n">
        <v>68.23</v>
      </c>
      <c r="D519" t="inlineStr">
        <is>
          <t>Debit</t>
        </is>
      </c>
      <c r="E519" t="inlineStr">
        <is>
          <t>Tools</t>
        </is>
      </c>
      <c r="F519">
        <f>IF(E519="Income","Revenue",IF(OR(E519="Materials",E519="Labor",E519="Dump Fees"),"COGS",IF(OR(E519="Fuel",E519="Insurance",E519="Tools",E519="Repairs"),"Expense","Non-Deductible")))</f>
        <v/>
      </c>
    </row>
    <row r="520">
      <c r="A520" s="5" t="n">
        <v>45958</v>
      </c>
      <c r="B520" t="inlineStr">
        <is>
          <t>Other Withdrawals - Mobile Banking Transfer To Account 152316875235</t>
        </is>
      </c>
      <c r="C520" t="n">
        <v>100</v>
      </c>
      <c r="D520" t="inlineStr">
        <is>
          <t>Debit</t>
        </is>
      </c>
      <c r="E520" t="inlineStr">
        <is>
          <t>Transfer</t>
        </is>
      </c>
      <c r="F520">
        <f>IF(E520="Income","Revenue",IF(OR(E520="Materials",E520="Labor",E520="Dump Fees"),"COGS",IF(OR(E520="Fuel",E520="Insurance",E520="Tools",E520="Repairs"),"Expense","Non-Deductible")))</f>
        <v/>
      </c>
    </row>
    <row r="521">
      <c r="A521" s="5" t="n">
        <v>45960</v>
      </c>
      <c r="B521" t="inlineStr">
        <is>
          <t>Card Withdrawals - ATM Withdrawal 611 NORTH 2ND ST LENZBURG IL</t>
        </is>
      </c>
      <c r="C521" t="n">
        <v>104</v>
      </c>
      <c r="D521" t="inlineStr">
        <is>
          <t>Debit</t>
        </is>
      </c>
      <c r="E521" t="inlineStr">
        <is>
          <t>Tools</t>
        </is>
      </c>
      <c r="F521">
        <f>IF(E521="Income","Revenue",IF(OR(E521="Materials",E521="Labor",E521="Dump Fees"),"COGS",IF(OR(E521="Fuel",E521="Insurance",E521="Tools",E521="Repairs"),"Expense","Non-Deductible")))</f>
        <v/>
      </c>
    </row>
    <row r="522">
      <c r="A522" s="5" t="n">
        <v>45960</v>
      </c>
      <c r="B522" t="inlineStr">
        <is>
          <t>Card Withdrawals - Fee ATM Withdrawal At Other Network 3000001505</t>
        </is>
      </c>
      <c r="C522" t="n">
        <v>3</v>
      </c>
      <c r="D522" t="inlineStr">
        <is>
          <t>Debit</t>
        </is>
      </c>
      <c r="E522" t="inlineStr">
        <is>
          <t>Tools</t>
        </is>
      </c>
      <c r="F522">
        <f>IF(E522="Income","Revenue",IF(OR(E522="Materials",E522="Labor",E522="Dump Fees"),"COGS",IF(OR(E522="Fuel",E522="Insurance",E522="Tools",E522="Repairs"),"Expense","Non-Deductible")))</f>
        <v/>
      </c>
    </row>
    <row r="523">
      <c r="A523" s="5" t="n">
        <v>45960</v>
      </c>
      <c r="B523" t="inlineStr">
        <is>
          <t>Other Deposits - Mobile Check Deposit 8950355293</t>
        </is>
      </c>
      <c r="C523" t="n">
        <v>500</v>
      </c>
      <c r="D523" t="inlineStr">
        <is>
          <t>Credit</t>
        </is>
      </c>
      <c r="E523" t="inlineStr">
        <is>
          <t>Income</t>
        </is>
      </c>
      <c r="F523">
        <f>IF(E523="Income","Revenue",IF(OR(E523="Materials",E523="Labor",E523="Dump Fees"),"COGS",IF(OR(E523="Fuel",E523="Insurance",E523="Tools",E523="Repairs"),"Expense","Non-Deductible")))</f>
        <v/>
      </c>
    </row>
    <row r="524">
      <c r="A524" s="5" t="n">
        <v>45960</v>
      </c>
      <c r="B524" t="inlineStr">
        <is>
          <t>Other Withdrawals - Electronic Withdrawal To STATE FARM RO 27</t>
        </is>
      </c>
      <c r="C524" t="n">
        <v>294.97</v>
      </c>
      <c r="D524" t="inlineStr">
        <is>
          <t>Debit</t>
        </is>
      </c>
      <c r="E524" t="inlineStr">
        <is>
          <t>Insurance</t>
        </is>
      </c>
      <c r="F524">
        <f>IF(E524="Income","Revenue",IF(OR(E524="Materials",E524="Labor",E524="Dump Fees"),"COGS",IF(OR(E524="Fuel",E524="Insurance",E524="Tools",E524="Repairs"),"Expense","Non-Deductible")))</f>
        <v/>
      </c>
    </row>
    <row r="525">
      <c r="A525" s="5" t="n">
        <v>45961</v>
      </c>
      <c r="B525" t="inlineStr">
        <is>
          <t>Card Withdrawals - Debit Purchase - VISA On 102925 Glen Carbon IL 3106778995</t>
        </is>
      </c>
      <c r="C525" t="n">
        <v>43.12</v>
      </c>
      <c r="D525" t="inlineStr">
        <is>
          <t>Debit</t>
        </is>
      </c>
      <c r="E525" t="inlineStr">
        <is>
          <t>Tools</t>
        </is>
      </c>
      <c r="F525">
        <f>IF(E525="Income","Revenue",IF(OR(E525="Materials",E525="Labor",E525="Dump Fees"),"COGS",IF(OR(E525="Fuel",E525="Insurance",E525="Tools",E525="Repairs"),"Expense","Non-Deductible")))</f>
        <v/>
      </c>
    </row>
    <row r="526">
      <c r="A526" s="5" t="n">
        <v>45961</v>
      </c>
      <c r="B526" t="inlineStr">
        <is>
          <t>Card Withdrawals - Debit Purchase - VISA On 102925 MARYVILLE IL 3300631650</t>
        </is>
      </c>
      <c r="C526" t="n">
        <v>41.63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</row>
    <row r="527">
      <c r="A527" s="5" t="n">
        <v>45961</v>
      </c>
      <c r="B527" t="inlineStr">
        <is>
          <t>Card Withdrawals - Debit Purchase verifyvend855-55 PROVIDENCE RI 9610301635</t>
        </is>
      </c>
      <c r="C527" t="n">
        <v>97.38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</row>
    <row r="528">
      <c r="A528" s="5" t="n">
        <v>45961</v>
      </c>
      <c r="B528" t="inlineStr">
        <is>
          <t>Other Withdrawals - Customer Withdrawal 9251030071</t>
        </is>
      </c>
      <c r="C528" t="n">
        <v>400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</row>
    <row r="529">
      <c r="A529" s="5" t="n">
        <v>45964</v>
      </c>
      <c r="B529" t="inlineStr">
        <is>
          <t>Card Withdrawals - ATM Withdrawal 8000 S LACLEDE S ST LOUIS MO</t>
        </is>
      </c>
      <c r="C529" t="n">
        <v>21.95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</row>
    <row r="530">
      <c r="A530" s="5" t="n">
        <v>45964</v>
      </c>
      <c r="B530" t="inlineStr">
        <is>
          <t>Card Withdrawals - Debit Purchase - VISA On 103125 FREEBURG IL 4900012600</t>
        </is>
      </c>
      <c r="C530" t="n">
        <v>72.77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</row>
    <row r="531">
      <c r="A531" s="5" t="n">
        <v>45964</v>
      </c>
      <c r="B531" t="inlineStr">
        <is>
          <t>Card Withdrawals - Debit Purchase - VISA On 103125 WATERLOO IL 5318070606 $</t>
        </is>
      </c>
      <c r="C531" t="n">
        <v>17.35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</row>
    <row r="532">
      <c r="A532" s="5" t="n">
        <v>45964</v>
      </c>
      <c r="B532" t="inlineStr">
        <is>
          <t>Card Withdrawals - Debit Purchase 7-ELEVEN 26184 Florissant MO</t>
        </is>
      </c>
      <c r="C532" t="n">
        <v>70.44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</row>
    <row r="533">
      <c r="A533" s="5" t="n">
        <v>45964</v>
      </c>
      <c r="B533" t="inlineStr">
        <is>
          <t>Card Withdrawals - Debit Purchase Liese Lumber Com Belleville IL 1011031306</t>
        </is>
      </c>
      <c r="C533" t="n">
        <v>2022.3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</row>
    <row r="534">
      <c r="A534" s="5" t="n">
        <v>45964</v>
      </c>
      <c r="B534" t="inlineStr">
        <is>
          <t>Card Withdrawals - Fee ATM Withdrawal At Other Network 0300004696 $</t>
        </is>
      </c>
      <c r="C534" t="n">
        <v>3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</row>
    <row r="535">
      <c r="A535" s="5" t="n">
        <v>45964</v>
      </c>
      <c r="B535" t="inlineStr">
        <is>
          <t>Other Withdrawals - 13,617.83 Nov13 15,120.55 Nov21</t>
        </is>
      </c>
      <c r="C535" t="n">
        <v>10449.77</v>
      </c>
      <c r="D535" t="inlineStr">
        <is>
          <t>Credit</t>
        </is>
      </c>
      <c r="E535" t="inlineStr">
        <is>
          <t>Income</t>
        </is>
      </c>
      <c r="F535">
        <f>IF(E535="Income","Revenue",IF(OR(E535="Materials",E535="Labor",E535="Dump Fees"),"COGS",IF(OR(E535="Fuel",E535="Insurance",E535="Tools",E535="Repairs"),"Expense","Non-Deductible")))</f>
        <v/>
      </c>
    </row>
    <row r="536">
      <c r="A536" s="5" t="n">
        <v>45964</v>
      </c>
      <c r="B536" t="inlineStr">
        <is>
          <t>Other Withdrawals - Electronic Withdrawal To DISCOVER</t>
        </is>
      </c>
      <c r="C536" t="n">
        <v>152.25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</row>
    <row r="537">
      <c r="A537" s="5" t="n">
        <v>45964</v>
      </c>
      <c r="B537" t="inlineStr">
        <is>
          <t>Other Withdrawals - Electronic Withdrawal To MERCURY FBT $</t>
        </is>
      </c>
      <c r="C537" t="n">
        <v>15</v>
      </c>
      <c r="D537" t="inlineStr">
        <is>
          <t>Debit</t>
        </is>
      </c>
      <c r="E537" t="inlineStr">
        <is>
          <t>Tools</t>
        </is>
      </c>
      <c r="F537">
        <f>IF(E537="Income","Revenue",IF(OR(E537="Materials",E537="Labor",E537="Dump Fees"),"COGS",IF(OR(E537="Fuel",E537="Insurance",E537="Tools",E537="Repairs"),"Expense","Non-Deductible")))</f>
        <v/>
      </c>
    </row>
    <row r="538">
      <c r="A538" s="5" t="n">
        <v>45964</v>
      </c>
      <c r="B538" t="inlineStr">
        <is>
          <t>Other Withdrawals - Mobile Banking Transfer To Account 152316875235</t>
        </is>
      </c>
      <c r="C538" t="n">
        <v>500</v>
      </c>
      <c r="D538" t="inlineStr">
        <is>
          <t>Debit</t>
        </is>
      </c>
      <c r="E538" t="inlineStr">
        <is>
          <t>Transfer</t>
        </is>
      </c>
      <c r="F538">
        <f>IF(E538="Income","Revenue",IF(OR(E538="Materials",E538="Labor",E538="Dump Fees"),"COGS",IF(OR(E538="Fuel",E538="Insurance",E538="Tools",E538="Repairs"),"Expense","Non-Deductible")))</f>
        <v/>
      </c>
    </row>
    <row r="539">
      <c r="A539" s="5" t="n">
        <v>45964</v>
      </c>
      <c r="B539" t="inlineStr">
        <is>
          <t>Other Withdrawals - Zelle Instant PMT To Brian Davis</t>
        </is>
      </c>
      <c r="C539" t="n">
        <v>210</v>
      </c>
      <c r="D539" t="inlineStr">
        <is>
          <t>Debit</t>
        </is>
      </c>
      <c r="E539" t="inlineStr">
        <is>
          <t>Labor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>
        <is>
          <t>Bryan</t>
        </is>
      </c>
    </row>
    <row r="540">
      <c r="A540" s="5" t="n">
        <v>45965</v>
      </c>
      <c r="B540" t="inlineStr">
        <is>
          <t>Card Withdrawals - Debit Purchase - VISA On 110225 FLORISSANT MO 7319185017</t>
        </is>
      </c>
      <c r="C540" t="n">
        <v>71.54000000000001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</row>
    <row r="541">
      <c r="A541" s="5" t="n">
        <v>45965</v>
      </c>
      <c r="B541" t="inlineStr">
        <is>
          <t>Other Withdrawals - 13,546.29 Nov14 13,479.30 Nov24</t>
        </is>
      </c>
      <c r="C541" t="n">
        <v>8841.559999999999</v>
      </c>
      <c r="D541" t="inlineStr">
        <is>
          <t>Credit</t>
        </is>
      </c>
      <c r="E541" t="inlineStr">
        <is>
          <t>Income</t>
        </is>
      </c>
      <c r="F541">
        <f>IF(E541="Income","Revenue",IF(OR(E541="Materials",E541="Labor",E541="Dump Fees"),"COGS",IF(OR(E541="Fuel",E541="Insurance",E541="Tools",E541="Repairs"),"Expense","Non-Deductible")))</f>
        <v/>
      </c>
    </row>
    <row r="542">
      <c r="A542" s="5" t="n">
        <v>45966</v>
      </c>
      <c r="B542" t="inlineStr">
        <is>
          <t>Other Deposits - Mobile Banking Transfer From Account 152316874980 $</t>
        </is>
      </c>
      <c r="C542" t="n">
        <v>275</v>
      </c>
      <c r="D542" t="inlineStr">
        <is>
          <t>Credit</t>
        </is>
      </c>
      <c r="E542" t="inlineStr">
        <is>
          <t>Transfer</t>
        </is>
      </c>
      <c r="F542">
        <f>IF(E542="Income","Revenue",IF(OR(E542="Materials",E542="Labor",E542="Dump Fees"),"COGS",IF(OR(E542="Fuel",E542="Insurance",E542="Tools",E542="Repairs"),"Expense","Non-Deductible")))</f>
        <v/>
      </c>
    </row>
    <row r="543">
      <c r="A543" s="5" t="n">
        <v>45966</v>
      </c>
      <c r="B543" t="inlineStr">
        <is>
          <t>Other Deposits - Mobile Check Deposit 8650986567</t>
        </is>
      </c>
      <c r="C543" t="n">
        <v>900</v>
      </c>
      <c r="D543" t="inlineStr">
        <is>
          <t>Credit</t>
        </is>
      </c>
      <c r="E543" t="inlineStr">
        <is>
          <t>Income</t>
        </is>
      </c>
      <c r="F543">
        <f>IF(E543="Income","Revenue",IF(OR(E543="Materials",E543="Labor",E543="Dump Fees"),"COGS",IF(OR(E543="Fuel",E543="Insurance",E543="Tools",E543="Repairs"),"Expense","Non-Deductible")))</f>
        <v/>
      </c>
    </row>
    <row r="544">
      <c r="A544" s="5" t="n">
        <v>45966</v>
      </c>
      <c r="B544" t="inlineStr">
        <is>
          <t>Other Deposits - Mobile Check Deposit 8651104382</t>
        </is>
      </c>
      <c r="C544" t="n">
        <v>421</v>
      </c>
      <c r="D544" t="inlineStr">
        <is>
          <t>Credit</t>
        </is>
      </c>
      <c r="E544" t="inlineStr">
        <is>
          <t>Income</t>
        </is>
      </c>
      <c r="F544">
        <f>IF(E544="Income","Revenue",IF(OR(E544="Materials",E544="Labor",E544="Dump Fees"),"COGS",IF(OR(E544="Fuel",E544="Insurance",E544="Tools",E544="Repairs"),"Expense","Non-Deductible")))</f>
        <v/>
      </c>
    </row>
    <row r="545">
      <c r="A545" s="5" t="n">
        <v>45966</v>
      </c>
      <c r="B545" t="inlineStr">
        <is>
          <t>Other Withdrawals - 15,142.29 Nov17 12,336.19 Nov25</t>
        </is>
      </c>
      <c r="C545" t="n">
        <v>11347.6</v>
      </c>
      <c r="D545" t="inlineStr">
        <is>
          <t>Credit</t>
        </is>
      </c>
      <c r="E545" t="inlineStr">
        <is>
          <t>Income</t>
        </is>
      </c>
      <c r="F545">
        <f>IF(E545="Income","Revenue",IF(OR(E545="Materials",E545="Labor",E545="Dump Fees"),"COGS",IF(OR(E545="Fuel",E545="Insurance",E545="Tools",E545="Repairs"),"Expense","Non-Deductible")))</f>
        <v/>
      </c>
    </row>
    <row r="546">
      <c r="A546" s="5" t="n">
        <v>45967</v>
      </c>
      <c r="B546" t="inlineStr">
        <is>
          <t>Other Deposits - Debit Purchase Ret - VISA On 110325 O'FALLON IL 8100308531</t>
        </is>
      </c>
      <c r="C546" t="n">
        <v>65.78</v>
      </c>
      <c r="D546" t="inlineStr">
        <is>
          <t>Credit</t>
        </is>
      </c>
      <c r="E546" t="inlineStr">
        <is>
          <t>Income</t>
        </is>
      </c>
      <c r="F546">
        <f>IF(E546="Income","Revenue",IF(OR(E546="Materials",E546="Labor",E546="Dump Fees"),"COGS",IF(OR(E546="Fuel",E546="Insurance",E546="Tools",E546="Repairs"),"Expense","Non-Deductible")))</f>
        <v/>
      </c>
    </row>
    <row r="547">
      <c r="A547" s="5" t="n">
        <v>45967</v>
      </c>
      <c r="B547" t="inlineStr">
        <is>
          <t>Other Withdrawals - 15,208.07 Nov18 12,221.67 Nov26</t>
        </is>
      </c>
      <c r="C547" t="n">
        <v>13758.82</v>
      </c>
      <c r="D547" t="inlineStr">
        <is>
          <t>Credit</t>
        </is>
      </c>
      <c r="E547" t="inlineStr">
        <is>
          <t>Income</t>
        </is>
      </c>
      <c r="F547">
        <f>IF(E547="Income","Revenue",IF(OR(E547="Materials",E547="Labor",E547="Dump Fees"),"COGS",IF(OR(E547="Fuel",E547="Insurance",E547="Tools",E547="Repairs"),"Expense","Non-Deductible")))</f>
        <v/>
      </c>
    </row>
    <row r="548">
      <c r="A548" s="5" t="n">
        <v>45993</v>
      </c>
      <c r="B548" t="inlineStr">
        <is>
          <t>Card Withdrawals - Debit Purchase - VISA On 120125 866-686-2158 DE 6171915040</t>
        </is>
      </c>
      <c r="C548" t="n">
        <v>500</v>
      </c>
      <c r="D548" t="inlineStr">
        <is>
          <t>Debit</t>
        </is>
      </c>
      <c r="E548" t="inlineStr">
        <is>
          <t>Tools</t>
        </is>
      </c>
      <c r="F548">
        <f>IF(E548="Income","Revenue",IF(OR(E548="Materials",E548="Labor",E548="Dump Fees"),"COGS",IF(OR(E548="Fuel",E548="Insurance",E548="Tools",E548="Repairs"),"Expense","Non-Deductible")))</f>
        <v/>
      </c>
    </row>
    <row r="549">
      <c r="A549" s="5" t="n">
        <v>45993</v>
      </c>
      <c r="B549" t="inlineStr">
        <is>
          <t>Card Withdrawals - Debit Purchase - VISA On 120125 COLUMBIA IL 6073224707 $</t>
        </is>
      </c>
      <c r="C549" t="n">
        <v>15.47</v>
      </c>
      <c r="D549" t="inlineStr">
        <is>
          <t>Debit</t>
        </is>
      </c>
      <c r="E549" t="inlineStr">
        <is>
          <t>Tools</t>
        </is>
      </c>
      <c r="F549">
        <f>IF(E549="Income","Revenue",IF(OR(E549="Materials",E549="Labor",E549="Dump Fees"),"COGS",IF(OR(E549="Fuel",E549="Insurance",E549="Tools",E549="Repairs"),"Expense","Non-Deductible")))</f>
        <v/>
      </c>
    </row>
    <row r="550">
      <c r="A550" s="5" t="n">
        <v>45993</v>
      </c>
      <c r="B550" t="inlineStr">
        <is>
          <t>Card Withdrawals - Debit Purchase CIRCLE K 01604 HIGH RIDGE MO 7212011934</t>
        </is>
      </c>
      <c r="C550" t="n">
        <v>54.53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</row>
    <row r="551">
      <c r="A551" s="5" t="n">
        <v>45993</v>
      </c>
      <c r="B551" t="inlineStr">
        <is>
          <t>Other Withdrawals - 10,237.85 Dec10 16,398.70 Dec19</t>
        </is>
      </c>
      <c r="C551" t="n">
        <v>12249.7</v>
      </c>
      <c r="D551" t="inlineStr">
        <is>
          <t>Credit</t>
        </is>
      </c>
      <c r="E551" t="inlineStr">
        <is>
          <t>Income</t>
        </is>
      </c>
      <c r="F551">
        <f>IF(E551="Income","Revenue",IF(OR(E551="Materials",E551="Labor",E551="Dump Fees"),"COGS",IF(OR(E551="Fuel",E551="Insurance",E551="Tools",E551="Repairs"),"Expense","Non-Deductible")))</f>
        <v/>
      </c>
    </row>
    <row r="552">
      <c r="A552" s="5" t="n">
        <v>45994</v>
      </c>
      <c r="B552" t="inlineStr">
        <is>
          <t>Card Withdrawals - Debit Purchase - VISA On 120125 HIGH RIDGE MO 6900018688</t>
        </is>
      </c>
      <c r="C552" t="n">
        <v>47.14</v>
      </c>
      <c r="D552" t="inlineStr">
        <is>
          <t>Debit</t>
        </is>
      </c>
      <c r="E552" t="inlineStr">
        <is>
          <t>Tools</t>
        </is>
      </c>
      <c r="F552">
        <f>IF(E552="Income","Revenue",IF(OR(E552="Materials",E552="Labor",E552="Dump Fees"),"COGS",IF(OR(E552="Fuel",E552="Insurance",E552="Tools",E552="Repairs"),"Expense","Non-Deductible")))</f>
        <v/>
      </c>
    </row>
    <row r="553">
      <c r="A553" s="5" t="n">
        <v>45994</v>
      </c>
      <c r="B553" t="inlineStr">
        <is>
          <t>Card Withdrawals - Debit Purchase - VISA On 120225 FREEBURG IL 6720244772</t>
        </is>
      </c>
      <c r="C553" t="n">
        <v>5.42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</row>
    <row r="554">
      <c r="A554" s="5" t="n">
        <v>45994</v>
      </c>
      <c r="B554" t="inlineStr">
        <is>
          <t>Other Withdrawals - 9,718.56 Dec12 14,167.88 Dec22</t>
        </is>
      </c>
      <c r="C554" t="n">
        <v>12077.27</v>
      </c>
      <c r="D554" t="inlineStr">
        <is>
          <t>Credit</t>
        </is>
      </c>
      <c r="E554" t="inlineStr">
        <is>
          <t>Income</t>
        </is>
      </c>
      <c r="F554">
        <f>IF(E554="Income","Revenue",IF(OR(E554="Materials",E554="Labor",E554="Dump Fees"),"COGS",IF(OR(E554="Fuel",E554="Insurance",E554="Tools",E554="Repairs"),"Expense","Non-Deductible")))</f>
        <v/>
      </c>
    </row>
    <row r="555">
      <c r="A555" s="5" t="n">
        <v>45994</v>
      </c>
      <c r="B555" t="inlineStr">
        <is>
          <t>Other Withdrawals - Electronic Withdrawal To DISCOVER</t>
        </is>
      </c>
      <c r="C555" t="n">
        <v>138.46</v>
      </c>
      <c r="D555" t="inlineStr">
        <is>
          <t>Debit</t>
        </is>
      </c>
      <c r="E555" t="inlineStr">
        <is>
          <t>Tools</t>
        </is>
      </c>
      <c r="F555">
        <f>IF(E555="Income","Revenue",IF(OR(E555="Materials",E555="Labor",E555="Dump Fees"),"COGS",IF(OR(E555="Fuel",E555="Insurance",E555="Tools",E555="Repairs"),"Expense","Non-Deductible")))</f>
        <v/>
      </c>
    </row>
    <row r="556">
      <c r="A556" s="5" t="n">
        <v>45994</v>
      </c>
      <c r="B556" t="inlineStr">
        <is>
          <t>Other Withdrawals - Electronic Withdrawal To MERCURY FBT $</t>
        </is>
      </c>
      <c r="C556" t="n">
        <v>33.3</v>
      </c>
      <c r="D556" t="inlineStr">
        <is>
          <t>Debit</t>
        </is>
      </c>
      <c r="E556" t="inlineStr">
        <is>
          <t>Tools</t>
        </is>
      </c>
      <c r="F556">
        <f>IF(E556="Income","Revenue",IF(OR(E556="Materials",E556="Labor",E556="Dump Fees"),"COGS",IF(OR(E556="Fuel",E556="Insurance",E556="Tools",E556="Repairs"),"Expense","Non-Deductible")))</f>
        <v/>
      </c>
    </row>
    <row r="557">
      <c r="A557" s="5" t="n">
        <v>45994</v>
      </c>
      <c r="B557" t="inlineStr">
        <is>
          <t>Other Withdrawals - Electronic Withdrawal To STATE FARM RO 27</t>
        </is>
      </c>
      <c r="C557" t="n">
        <v>294.97</v>
      </c>
      <c r="D557" t="inlineStr">
        <is>
          <t>Debit</t>
        </is>
      </c>
      <c r="E557" t="inlineStr">
        <is>
          <t>Insurance</t>
        </is>
      </c>
      <c r="F557">
        <f>IF(E557="Income","Revenue",IF(OR(E557="Materials",E557="Labor",E557="Dump Fees"),"COGS",IF(OR(E557="Fuel",E557="Insurance",E557="Tools",E557="Repairs"),"Expense","Non-Deductible")))</f>
        <v/>
      </c>
    </row>
    <row r="558">
      <c r="A558" s="5" t="n">
        <v>45995</v>
      </c>
      <c r="B558" t="inlineStr">
        <is>
          <t>Card Withdrawals - Debit Purchase - VISA On 120225 NEW ATHENS IL 7900013461</t>
        </is>
      </c>
      <c r="C558" t="n">
        <v>23.98</v>
      </c>
      <c r="D558" t="inlineStr">
        <is>
          <t>Debit</t>
        </is>
      </c>
      <c r="E558" t="inlineStr">
        <is>
          <t>Tools</t>
        </is>
      </c>
      <c r="F558">
        <f>IF(E558="Income","Revenue",IF(OR(E558="Materials",E558="Labor",E558="Dump Fees"),"COGS",IF(OR(E558="Fuel",E558="Insurance",E558="Tools",E558="Repairs"),"Expense","Non-Deductible")))</f>
        <v/>
      </c>
    </row>
    <row r="559">
      <c r="A559" s="5" t="n">
        <v>45995</v>
      </c>
      <c r="B559" t="inlineStr">
        <is>
          <t>Card Withdrawals - Debit Purchase CASEYS #3252 129 NEW ATHENS IL 5612031631</t>
        </is>
      </c>
      <c r="C559" t="n">
        <v>19.33</v>
      </c>
      <c r="D559" t="inlineStr">
        <is>
          <t>Debit</t>
        </is>
      </c>
      <c r="E559" t="inlineStr">
        <is>
          <t>Labor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>
        <is>
          <t>Casey</t>
        </is>
      </c>
    </row>
    <row r="560">
      <c r="A560" s="5" t="n">
        <v>45995</v>
      </c>
      <c r="B560" t="inlineStr">
        <is>
          <t>Other Withdrawals - 9,675.25 Dec15 13,393.91 Dec24</t>
        </is>
      </c>
      <c r="C560" t="n">
        <v>9329.059999999999</v>
      </c>
      <c r="D560" t="inlineStr">
        <is>
          <t>Credit</t>
        </is>
      </c>
      <c r="E560" t="inlineStr">
        <is>
          <t>Income</t>
        </is>
      </c>
      <c r="F560">
        <f>IF(E560="Income","Revenue",IF(OR(E560="Materials",E560="Labor",E560="Dump Fees"),"COGS",IF(OR(E560="Fuel",E560="Insurance",E560="Tools",E560="Repairs"),"Expense","Non-Deductible")))</f>
        <v/>
      </c>
    </row>
    <row r="561">
      <c r="A561" s="5" t="n">
        <v>45996</v>
      </c>
      <c r="B561" t="inlineStr">
        <is>
          <t>Card Withdrawals - Debit Purchase - VISA On 120325 NEW ATHENS IL 8900013599</t>
        </is>
      </c>
      <c r="C561" t="n">
        <v>37.34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</row>
    <row r="562">
      <c r="A562" s="5" t="n">
        <v>45996</v>
      </c>
      <c r="B562" t="inlineStr">
        <is>
          <t>Card Withdrawals - Debit Purchase - VISA On 120425 FREEBURG IL 8570712070</t>
        </is>
      </c>
      <c r="C562" t="n">
        <v>19.78</v>
      </c>
      <c r="D562" t="inlineStr">
        <is>
          <t>Debit</t>
        </is>
      </c>
      <c r="E562" t="inlineStr">
        <is>
          <t>Tools</t>
        </is>
      </c>
      <c r="F562">
        <f>IF(E562="Income","Revenue",IF(OR(E562="Materials",E562="Labor",E562="Dump Fees"),"COGS",IF(OR(E562="Fuel",E562="Insurance",E562="Tools",E562="Repairs"),"Expense","Non-Deductible")))</f>
        <v/>
      </c>
    </row>
    <row r="563">
      <c r="A563" s="5" t="n">
        <v>45996</v>
      </c>
      <c r="B563" t="inlineStr">
        <is>
          <t>Other Withdrawals - 8,244.13 Dec16 12,351.45 Dec26</t>
        </is>
      </c>
      <c r="C563" t="n">
        <v>9129.059999999999</v>
      </c>
      <c r="D563" t="inlineStr">
        <is>
          <t>Credit</t>
        </is>
      </c>
      <c r="E563" t="inlineStr">
        <is>
          <t>Income</t>
        </is>
      </c>
      <c r="F563">
        <f>IF(E563="Income","Revenue",IF(OR(E563="Materials",E563="Labor",E563="Dump Fees"),"COGS",IF(OR(E563="Fuel",E563="Insurance",E563="Tools",E563="Repairs"),"Expense","Non-Deductible")))</f>
        <v/>
      </c>
    </row>
    <row r="564">
      <c r="A564" s="5" t="n">
        <v>45996</v>
      </c>
      <c r="B564" t="inlineStr">
        <is>
          <t>Other Withdrawals - Zelle Instant PMT To Brian Davis</t>
        </is>
      </c>
      <c r="C564" t="n">
        <v>997</v>
      </c>
      <c r="D564" t="inlineStr">
        <is>
          <t>Debit</t>
        </is>
      </c>
      <c r="E564" t="inlineStr">
        <is>
          <t>Labor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>
        <is>
          <t>Bryan</t>
        </is>
      </c>
    </row>
    <row r="565">
      <c r="A565" s="5" t="n">
        <v>45996</v>
      </c>
      <c r="B565" t="inlineStr">
        <is>
          <t>Other Withdrawals - Zelle Instant PMT To Casey Williamson</t>
        </is>
      </c>
      <c r="C565" t="n">
        <v>377</v>
      </c>
      <c r="D565" t="inlineStr">
        <is>
          <t>Debit</t>
        </is>
      </c>
      <c r="E565" t="inlineStr">
        <is>
          <t>Labor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>
        <is>
          <t>Casey</t>
        </is>
      </c>
    </row>
    <row r="566">
      <c r="A566" s="5" t="n">
        <v>45999</v>
      </c>
      <c r="B566" t="inlineStr">
        <is>
          <t>Card Withdrawals - Debit Purchase - VISA On 120525 BELLEVILLE IL 9001117154</t>
        </is>
      </c>
      <c r="C566" t="n">
        <v>23.43</v>
      </c>
      <c r="D566" t="inlineStr">
        <is>
          <t>Debit</t>
        </is>
      </c>
      <c r="E566" t="inlineStr">
        <is>
          <t>Tools</t>
        </is>
      </c>
      <c r="F566">
        <f>IF(E566="Income","Revenue",IF(OR(E566="Materials",E566="Labor",E566="Dump Fees"),"COGS",IF(OR(E566="Fuel",E566="Insurance",E566="Tools",E566="Repairs"),"Expense","Non-Deductible")))</f>
        <v/>
      </c>
    </row>
    <row r="567">
      <c r="A567" s="5" t="n">
        <v>45999</v>
      </c>
      <c r="B567" t="inlineStr">
        <is>
          <t>Card Withdrawals - Debit Purchase - VISA On 120525 FREEBURG IL 9720255374</t>
        </is>
      </c>
      <c r="C567" t="n">
        <v>1.91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</row>
    <row r="568">
      <c r="A568" s="5" t="n">
        <v>45999</v>
      </c>
      <c r="B568" t="inlineStr">
        <is>
          <t>Card Withdrawals - Debit Purchase - VISA On 120625 CARBONDALE IL 1133417204</t>
        </is>
      </c>
      <c r="C568" t="n">
        <v>131.68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</row>
    <row r="569">
      <c r="A569" s="5" t="n">
        <v>45999</v>
      </c>
      <c r="B569" t="inlineStr">
        <is>
          <t>Card Withdrawals - Debit Purchase DOLLAR GENERAL # NEW ATHENS IL 0312051726</t>
        </is>
      </c>
      <c r="C569" t="n">
        <v>22.23</v>
      </c>
      <c r="D569" t="inlineStr">
        <is>
          <t>Debit</t>
        </is>
      </c>
      <c r="E569" t="inlineStr">
        <is>
          <t>Tools</t>
        </is>
      </c>
      <c r="F569">
        <f>IF(E569="Income","Revenue",IF(OR(E569="Materials",E569="Labor",E569="Dump Fees"),"COGS",IF(OR(E569="Fuel",E569="Insurance",E569="Tools",E569="Repairs"),"Expense","Non-Deductible")))</f>
        <v/>
      </c>
    </row>
    <row r="570">
      <c r="A570" s="5" t="n">
        <v>45999</v>
      </c>
      <c r="B570" t="inlineStr">
        <is>
          <t>Card Withdrawals - Debit Purchase NEW ATHENS MINI NEW ATHENS IL 5112051717</t>
        </is>
      </c>
      <c r="C570" t="n">
        <v>8.609999999999999</v>
      </c>
      <c r="D570" t="inlineStr">
        <is>
          <t>Debit</t>
        </is>
      </c>
      <c r="E570" t="inlineStr">
        <is>
          <t>Tools</t>
        </is>
      </c>
      <c r="F570">
        <f>IF(E570="Income","Revenue",IF(OR(E570="Materials",E570="Labor",E570="Dump Fees"),"COGS",IF(OR(E570="Fuel",E570="Insurance",E570="Tools",E570="Repairs"),"Expense","Non-Deductible")))</f>
        <v/>
      </c>
    </row>
    <row r="571">
      <c r="A571" s="5" t="n">
        <v>45999</v>
      </c>
      <c r="B571" t="inlineStr">
        <is>
          <t>Other Deposits - Mobile Check Deposit 8054580596 $</t>
        </is>
      </c>
      <c r="C571" t="n">
        <v>8930.68</v>
      </c>
      <c r="D571" t="inlineStr">
        <is>
          <t>Credit</t>
        </is>
      </c>
      <c r="E571" t="inlineStr">
        <is>
          <t>Income</t>
        </is>
      </c>
      <c r="F571">
        <f>IF(E571="Income","Revenue",IF(OR(E571="Materials",E571="Labor",E571="Dump Fees"),"COGS",IF(OR(E571="Fuel",E571="Insurance",E571="Tools",E571="Repairs"),"Expense","Non-Deductible")))</f>
        <v/>
      </c>
    </row>
    <row r="572">
      <c r="A572" s="5" t="n">
        <v>45999</v>
      </c>
      <c r="B572" t="inlineStr">
        <is>
          <t>Other Withdrawals - 16,961.95 Dec17 14,791.93 Dec29</t>
        </is>
      </c>
      <c r="C572" t="n">
        <v>8781.34</v>
      </c>
      <c r="D572" t="inlineStr">
        <is>
          <t>Credit</t>
        </is>
      </c>
      <c r="E572" t="inlineStr">
        <is>
          <t>Income</t>
        </is>
      </c>
      <c r="F572">
        <f>IF(E572="Income","Revenue",IF(OR(E572="Materials",E572="Labor",E572="Dump Fees"),"COGS",IF(OR(E572="Fuel",E572="Insurance",E572="Tools",E572="Repairs"),"Expense","Non-Deductible")))</f>
        <v/>
      </c>
    </row>
    <row r="573">
      <c r="A573" s="5" t="n">
        <v>45999</v>
      </c>
      <c r="B573" t="inlineStr">
        <is>
          <t>Other Withdrawals - Mobile Banking Transfer To Account 152316874980</t>
        </is>
      </c>
      <c r="C573" t="n">
        <v>25</v>
      </c>
      <c r="D573" t="inlineStr">
        <is>
          <t>Debit</t>
        </is>
      </c>
      <c r="E573" t="inlineStr">
        <is>
          <t>Transfer</t>
        </is>
      </c>
      <c r="F573">
        <f>IF(E573="Income","Revenue",IF(OR(E573="Materials",E573="Labor",E573="Dump Fees"),"COGS",IF(OR(E573="Fuel",E573="Insurance",E573="Tools",E573="Repairs"),"Expense","Non-Deductible")))</f>
        <v/>
      </c>
    </row>
    <row r="574">
      <c r="A574" s="5" t="n">
        <v>46000</v>
      </c>
      <c r="B574" t="inlineStr">
        <is>
          <t>Card Withdrawals - Debit Purchase SCHNUCKS MARKET COLUMBIA IL 2112081749</t>
        </is>
      </c>
      <c r="C574" t="n">
        <v>119.52</v>
      </c>
      <c r="D574" t="inlineStr">
        <is>
          <t>Debit</t>
        </is>
      </c>
      <c r="E574" t="inlineStr">
        <is>
          <t>Tools</t>
        </is>
      </c>
      <c r="F574">
        <f>IF(E574="Income","Revenue",IF(OR(E574="Materials",E574="Labor",E574="Dump Fees"),"COGS",IF(OR(E574="Fuel",E574="Insurance",E574="Tools",E574="Repairs"),"Expense","Non-Deductible")))</f>
        <v/>
      </c>
    </row>
    <row r="575">
      <c r="A575" s="5" t="n">
        <v>46000</v>
      </c>
      <c r="B575" t="inlineStr">
        <is>
          <t>Other Withdrawals - 16,642.43 Dec18 14,752.14 Dec31</t>
        </is>
      </c>
      <c r="C575" t="n">
        <v>8236.370000000001</v>
      </c>
      <c r="D575" t="inlineStr">
        <is>
          <t>Credit</t>
        </is>
      </c>
      <c r="E575" t="inlineStr">
        <is>
          <t>Income</t>
        </is>
      </c>
      <c r="F575">
        <f>IF(E575="Income","Revenue",IF(OR(E575="Materials",E575="Labor",E575="Dump Fees"),"COGS",IF(OR(E575="Fuel",E575="Insurance",E575="Tools",E575="Repairs"),"Expense","Non-Deductible")))</f>
        <v/>
      </c>
    </row>
    <row r="576">
      <c r="A576" s="5" t="n">
        <v>46000</v>
      </c>
      <c r="B576" t="inlineStr">
        <is>
          <t>Other Withdrawals - Mobile Banking Transfer To Account 152316875235</t>
        </is>
      </c>
      <c r="C576" t="n">
        <v>200</v>
      </c>
      <c r="D576" t="inlineStr">
        <is>
          <t>Debit</t>
        </is>
      </c>
      <c r="E576" t="inlineStr">
        <is>
          <t>Transfer</t>
        </is>
      </c>
      <c r="F576">
        <f>IF(E576="Income","Revenue",IF(OR(E576="Materials",E576="Labor",E576="Dump Fees"),"COGS",IF(OR(E576="Fuel",E576="Insurance",E576="Tools",E576="Repairs"),"Expense","Non-Deductible")))</f>
        <v/>
      </c>
    </row>
  </sheetData>
  <dataValidations count="2">
    <dataValidation sqref="E2:E576" showDropDown="0" showInputMessage="0" showErrorMessage="0" allowBlank="1" type="list">
      <formula1>"Income,Materials,Labor,Dump Fees,Fuel,Insurance,Tools,Repairs,Utilities,Owner Draw,Transfer"</formula1>
    </dataValidation>
    <dataValidation sqref="G2:G576" showDropDown="0" showInputMessage="0" showErrorMessage="0" allowBlank="1" type="list">
      <formula1>",Bryan,Jameson,Casey,Tony"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6" t="inlineStr">
        <is>
          <t>ALL PRO METRO EAST CONSTRUCTION LLC - Profit &amp; Loss 2025</t>
        </is>
      </c>
    </row>
    <row r="2"/>
    <row r="3">
      <c r="A3" s="1" t="inlineStr">
        <is>
          <t>Revenue</t>
        </is>
      </c>
      <c r="B3" s="2">
        <f>SUMIFS(CATEGORIZED_2025!$C:$C,CATEGORIZED_2025!$F:$F,"Revenue")</f>
        <v/>
      </c>
    </row>
    <row r="4">
      <c r="A4" s="1" t="inlineStr">
        <is>
          <t>COGS</t>
        </is>
      </c>
      <c r="B4" s="2">
        <f>SUMIFS(CATEGORIZED_2025!$C:$C,CATEGORIZED_2025!$F:$F,"COGS")</f>
        <v/>
      </c>
    </row>
    <row r="5">
      <c r="A5" s="1" t="inlineStr">
        <is>
          <t>Expenses</t>
        </is>
      </c>
      <c r="B5" s="2">
        <f>SUMIFS(CATEGORIZED_2025!$C:$C,CATEGORIZED_2025!$F:$F,"Expense")</f>
        <v/>
      </c>
    </row>
    <row r="6">
      <c r="A6" s="1" t="inlineStr">
        <is>
          <t>Non-Deductible</t>
        </is>
      </c>
      <c r="B6" s="2">
        <f>SUMIFS(CATEGORIZED_2025!$C:$C,CATEGORIZED_2025!$F:$F,"Non-Deductible")</f>
        <v/>
      </c>
    </row>
    <row r="7">
      <c r="A7" s="1" t="inlineStr">
        <is>
          <t>Net Income</t>
        </is>
      </c>
      <c r="B7" s="2">
        <f>B3-B4-B5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Month</t>
        </is>
      </c>
      <c r="B1" s="4" t="inlineStr">
        <is>
          <t>Revenue</t>
        </is>
      </c>
      <c r="C1" s="4" t="inlineStr">
        <is>
          <t>COGS</t>
        </is>
      </c>
      <c r="D1" s="4" t="inlineStr">
        <is>
          <t>Expenses</t>
        </is>
      </c>
      <c r="E1" s="4" t="inlineStr">
        <is>
          <t>Net Income</t>
        </is>
      </c>
    </row>
    <row r="2">
      <c r="A2" t="inlineStr">
        <is>
          <t>January</t>
        </is>
      </c>
      <c r="B2" s="2">
        <f>SUMPRODUCT((CATEGORIZED_2025!$F$2:$F$200000="Revenue")*(TEXT(CATEGORIZED_2025!$A$2:$A$200000,"yyyy-mm")="2025-01")*CATEGORIZED_2025!$C$2:$C$200000)</f>
        <v/>
      </c>
      <c r="C2" s="2">
        <f>SUMPRODUCT((CATEGORIZED_2025!$F$2:$F$200000="COGS")*(TEXT(CATEGORIZED_2025!$A$2:$A$200000,"yyyy-mm")="2025-01")*CATEGORIZED_2025!$C$2:$C$200000)</f>
        <v/>
      </c>
      <c r="D2" s="2">
        <f>SUMPRODUCT((CATEGORIZED_2025!$F$2:$F$200000="Expense")*(TEXT(CATEGORIZED_2025!$A$2:$A$200000,"yyyy-mm")="2025-01")*CATEGORIZED_2025!$C$2:$C$200000)</f>
        <v/>
      </c>
      <c r="E2" s="2">
        <f>B2-C2-D2</f>
        <v/>
      </c>
    </row>
    <row r="3">
      <c r="A3" t="inlineStr">
        <is>
          <t>February</t>
        </is>
      </c>
      <c r="B3" s="2">
        <f>SUMPRODUCT((CATEGORIZED_2025!$F$2:$F$200000="Revenue")*(TEXT(CATEGORIZED_2025!$A$2:$A$200000,"yyyy-mm")="2025-02")*CATEGORIZED_2025!$C$2:$C$200000)</f>
        <v/>
      </c>
      <c r="C3" s="2">
        <f>SUMPRODUCT((CATEGORIZED_2025!$F$2:$F$200000="COGS")*(TEXT(CATEGORIZED_2025!$A$2:$A$200000,"yyyy-mm")="2025-02")*CATEGORIZED_2025!$C$2:$C$200000)</f>
        <v/>
      </c>
      <c r="D3" s="2">
        <f>SUMPRODUCT((CATEGORIZED_2025!$F$2:$F$200000="Expense")*(TEXT(CATEGORIZED_2025!$A$2:$A$200000,"yyyy-mm")="2025-02")*CATEGORIZED_2025!$C$2:$C$200000)</f>
        <v/>
      </c>
      <c r="E3" s="2">
        <f>B3-C3-D3</f>
        <v/>
      </c>
    </row>
    <row r="4">
      <c r="A4" t="inlineStr">
        <is>
          <t>March</t>
        </is>
      </c>
      <c r="B4" s="2">
        <f>SUMPRODUCT((CATEGORIZED_2025!$F$2:$F$200000="Revenue")*(TEXT(CATEGORIZED_2025!$A$2:$A$200000,"yyyy-mm")="2025-03")*CATEGORIZED_2025!$C$2:$C$200000)</f>
        <v/>
      </c>
      <c r="C4" s="2">
        <f>SUMPRODUCT((CATEGORIZED_2025!$F$2:$F$200000="COGS")*(TEXT(CATEGORIZED_2025!$A$2:$A$200000,"yyyy-mm")="2025-03")*CATEGORIZED_2025!$C$2:$C$200000)</f>
        <v/>
      </c>
      <c r="D4" s="2">
        <f>SUMPRODUCT((CATEGORIZED_2025!$F$2:$F$200000="Expense")*(TEXT(CATEGORIZED_2025!$A$2:$A$200000,"yyyy-mm")="2025-03")*CATEGORIZED_2025!$C$2:$C$200000)</f>
        <v/>
      </c>
      <c r="E4" s="2">
        <f>B4-C4-D4</f>
        <v/>
      </c>
    </row>
    <row r="5">
      <c r="A5" t="inlineStr">
        <is>
          <t>April</t>
        </is>
      </c>
      <c r="B5" s="2">
        <f>SUMPRODUCT((CATEGORIZED_2025!$F$2:$F$200000="Revenue")*(TEXT(CATEGORIZED_2025!$A$2:$A$200000,"yyyy-mm")="2025-04")*CATEGORIZED_2025!$C$2:$C$200000)</f>
        <v/>
      </c>
      <c r="C5" s="2">
        <f>SUMPRODUCT((CATEGORIZED_2025!$F$2:$F$200000="COGS")*(TEXT(CATEGORIZED_2025!$A$2:$A$200000,"yyyy-mm")="2025-04")*CATEGORIZED_2025!$C$2:$C$200000)</f>
        <v/>
      </c>
      <c r="D5" s="2">
        <f>SUMPRODUCT((CATEGORIZED_2025!$F$2:$F$200000="Expense")*(TEXT(CATEGORIZED_2025!$A$2:$A$200000,"yyyy-mm")="2025-04")*CATEGORIZED_2025!$C$2:$C$200000)</f>
        <v/>
      </c>
      <c r="E5" s="2">
        <f>B5-C5-D5</f>
        <v/>
      </c>
    </row>
    <row r="6">
      <c r="A6" t="inlineStr">
        <is>
          <t>May</t>
        </is>
      </c>
      <c r="B6" s="2">
        <f>SUMPRODUCT((CATEGORIZED_2025!$F$2:$F$200000="Revenue")*(TEXT(CATEGORIZED_2025!$A$2:$A$200000,"yyyy-mm")="2025-05")*CATEGORIZED_2025!$C$2:$C$200000)</f>
        <v/>
      </c>
      <c r="C6" s="2">
        <f>SUMPRODUCT((CATEGORIZED_2025!$F$2:$F$200000="COGS")*(TEXT(CATEGORIZED_2025!$A$2:$A$200000,"yyyy-mm")="2025-05")*CATEGORIZED_2025!$C$2:$C$200000)</f>
        <v/>
      </c>
      <c r="D6" s="2">
        <f>SUMPRODUCT((CATEGORIZED_2025!$F$2:$F$200000="Expense")*(TEXT(CATEGORIZED_2025!$A$2:$A$200000,"yyyy-mm")="2025-05")*CATEGORIZED_2025!$C$2:$C$200000)</f>
        <v/>
      </c>
      <c r="E6" s="2">
        <f>B6-C6-D6</f>
        <v/>
      </c>
    </row>
    <row r="7">
      <c r="A7" t="inlineStr">
        <is>
          <t>June</t>
        </is>
      </c>
      <c r="B7" s="2">
        <f>SUMPRODUCT((CATEGORIZED_2025!$F$2:$F$200000="Revenue")*(TEXT(CATEGORIZED_2025!$A$2:$A$200000,"yyyy-mm")="2025-06")*CATEGORIZED_2025!$C$2:$C$200000)</f>
        <v/>
      </c>
      <c r="C7" s="2">
        <f>SUMPRODUCT((CATEGORIZED_2025!$F$2:$F$200000="COGS")*(TEXT(CATEGORIZED_2025!$A$2:$A$200000,"yyyy-mm")="2025-06")*CATEGORIZED_2025!$C$2:$C$200000)</f>
        <v/>
      </c>
      <c r="D7" s="2">
        <f>SUMPRODUCT((CATEGORIZED_2025!$F$2:$F$200000="Expense")*(TEXT(CATEGORIZED_2025!$A$2:$A$200000,"yyyy-mm")="2025-06")*CATEGORIZED_2025!$C$2:$C$200000)</f>
        <v/>
      </c>
      <c r="E7" s="2">
        <f>B7-C7-D7</f>
        <v/>
      </c>
    </row>
    <row r="8">
      <c r="A8" t="inlineStr">
        <is>
          <t>July</t>
        </is>
      </c>
      <c r="B8" s="2">
        <f>SUMPRODUCT((CATEGORIZED_2025!$F$2:$F$200000="Revenue")*(TEXT(CATEGORIZED_2025!$A$2:$A$200000,"yyyy-mm")="2025-07")*CATEGORIZED_2025!$C$2:$C$200000)</f>
        <v/>
      </c>
      <c r="C8" s="2">
        <f>SUMPRODUCT((CATEGORIZED_2025!$F$2:$F$200000="COGS")*(TEXT(CATEGORIZED_2025!$A$2:$A$200000,"yyyy-mm")="2025-07")*CATEGORIZED_2025!$C$2:$C$200000)</f>
        <v/>
      </c>
      <c r="D8" s="2">
        <f>SUMPRODUCT((CATEGORIZED_2025!$F$2:$F$200000="Expense")*(TEXT(CATEGORIZED_2025!$A$2:$A$200000,"yyyy-mm")="2025-07")*CATEGORIZED_2025!$C$2:$C$200000)</f>
        <v/>
      </c>
      <c r="E8" s="2">
        <f>B8-C8-D8</f>
        <v/>
      </c>
    </row>
    <row r="9">
      <c r="A9" t="inlineStr">
        <is>
          <t>August</t>
        </is>
      </c>
      <c r="B9" s="2">
        <f>SUMPRODUCT((CATEGORIZED_2025!$F$2:$F$200000="Revenue")*(TEXT(CATEGORIZED_2025!$A$2:$A$200000,"yyyy-mm")="2025-08")*CATEGORIZED_2025!$C$2:$C$200000)</f>
        <v/>
      </c>
      <c r="C9" s="2">
        <f>SUMPRODUCT((CATEGORIZED_2025!$F$2:$F$200000="COGS")*(TEXT(CATEGORIZED_2025!$A$2:$A$200000,"yyyy-mm")="2025-08")*CATEGORIZED_2025!$C$2:$C$200000)</f>
        <v/>
      </c>
      <c r="D9" s="2">
        <f>SUMPRODUCT((CATEGORIZED_2025!$F$2:$F$200000="Expense")*(TEXT(CATEGORIZED_2025!$A$2:$A$200000,"yyyy-mm")="2025-08")*CATEGORIZED_2025!$C$2:$C$200000)</f>
        <v/>
      </c>
      <c r="E9" s="2">
        <f>B9-C9-D9</f>
        <v/>
      </c>
    </row>
    <row r="10">
      <c r="A10" t="inlineStr">
        <is>
          <t>September</t>
        </is>
      </c>
      <c r="B10" s="2">
        <f>SUMPRODUCT((CATEGORIZED_2025!$F$2:$F$200000="Revenue")*(TEXT(CATEGORIZED_2025!$A$2:$A$200000,"yyyy-mm")="2025-09")*CATEGORIZED_2025!$C$2:$C$200000)</f>
        <v/>
      </c>
      <c r="C10" s="2">
        <f>SUMPRODUCT((CATEGORIZED_2025!$F$2:$F$200000="COGS")*(TEXT(CATEGORIZED_2025!$A$2:$A$200000,"yyyy-mm")="2025-09")*CATEGORIZED_2025!$C$2:$C$200000)</f>
        <v/>
      </c>
      <c r="D10" s="2">
        <f>SUMPRODUCT((CATEGORIZED_2025!$F$2:$F$200000="Expense")*(TEXT(CATEGORIZED_2025!$A$2:$A$200000,"yyyy-mm")="2025-09")*CATEGORIZED_2025!$C$2:$C$200000)</f>
        <v/>
      </c>
      <c r="E10" s="2">
        <f>B10-C10-D10</f>
        <v/>
      </c>
    </row>
    <row r="11">
      <c r="A11" t="inlineStr">
        <is>
          <t>October</t>
        </is>
      </c>
      <c r="B11" s="2">
        <f>SUMPRODUCT((CATEGORIZED_2025!$F$2:$F$200000="Revenue")*(TEXT(CATEGORIZED_2025!$A$2:$A$200000,"yyyy-mm")="2025-10")*CATEGORIZED_2025!$C$2:$C$200000)</f>
        <v/>
      </c>
      <c r="C11" s="2">
        <f>SUMPRODUCT((CATEGORIZED_2025!$F$2:$F$200000="COGS")*(TEXT(CATEGORIZED_2025!$A$2:$A$200000,"yyyy-mm")="2025-10")*CATEGORIZED_2025!$C$2:$C$200000)</f>
        <v/>
      </c>
      <c r="D11" s="2">
        <f>SUMPRODUCT((CATEGORIZED_2025!$F$2:$F$200000="Expense")*(TEXT(CATEGORIZED_2025!$A$2:$A$200000,"yyyy-mm")="2025-10")*CATEGORIZED_2025!$C$2:$C$200000)</f>
        <v/>
      </c>
      <c r="E11" s="2">
        <f>B11-C11-D11</f>
        <v/>
      </c>
    </row>
    <row r="12">
      <c r="A12" t="inlineStr">
        <is>
          <t>November</t>
        </is>
      </c>
      <c r="B12" s="2">
        <f>SUMPRODUCT((CATEGORIZED_2025!$F$2:$F$200000="Revenue")*(TEXT(CATEGORIZED_2025!$A$2:$A$200000,"yyyy-mm")="2025-11")*CATEGORIZED_2025!$C$2:$C$200000)</f>
        <v/>
      </c>
      <c r="C12" s="2">
        <f>SUMPRODUCT((CATEGORIZED_2025!$F$2:$F$200000="COGS")*(TEXT(CATEGORIZED_2025!$A$2:$A$200000,"yyyy-mm")="2025-11")*CATEGORIZED_2025!$C$2:$C$200000)</f>
        <v/>
      </c>
      <c r="D12" s="2">
        <f>SUMPRODUCT((CATEGORIZED_2025!$F$2:$F$200000="Expense")*(TEXT(CATEGORIZED_2025!$A$2:$A$200000,"yyyy-mm")="2025-11")*CATEGORIZED_2025!$C$2:$C$200000)</f>
        <v/>
      </c>
      <c r="E12" s="2">
        <f>B12-C12-D12</f>
        <v/>
      </c>
    </row>
    <row r="13">
      <c r="A13" t="inlineStr">
        <is>
          <t>December</t>
        </is>
      </c>
      <c r="B13" s="2">
        <f>SUMPRODUCT((CATEGORIZED_2025!$F$2:$F$200000="Revenue")*(TEXT(CATEGORIZED_2025!$A$2:$A$200000,"yyyy-mm")="2025-12")*CATEGORIZED_2025!$C$2:$C$200000)</f>
        <v/>
      </c>
      <c r="C13" s="2">
        <f>SUMPRODUCT((CATEGORIZED_2025!$F$2:$F$200000="COGS")*(TEXT(CATEGORIZED_2025!$A$2:$A$200000,"yyyy-mm")="2025-12")*CATEGORIZED_2025!$C$2:$C$200000)</f>
        <v/>
      </c>
      <c r="D13" s="2">
        <f>SUMPRODUCT((CATEGORIZED_2025!$F$2:$F$200000="Expense")*(TEXT(CATEGORIZED_2025!$A$2:$A$200000,"yyyy-mm")="2025-12")*CATEGORIZED_2025!$C$2:$C$200000)</f>
        <v/>
      </c>
      <c r="E13" s="2">
        <f>B13-C13-D13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Contractor</t>
        </is>
      </c>
      <c r="B1" s="4" t="inlineStr">
        <is>
          <t>Total</t>
        </is>
      </c>
    </row>
    <row r="2">
      <c r="A2" t="inlineStr">
        <is>
          <t>Bryan</t>
        </is>
      </c>
      <c r="B2" s="2">
        <f>SUMIFS(CATEGORIZED_2025!$C:$C,CATEGORIZED_2025!$E:$E,"Labor",CATEGORIZED_2025!$G:$G,A2)</f>
        <v/>
      </c>
    </row>
    <row r="3">
      <c r="A3" t="inlineStr">
        <is>
          <t>Jameson</t>
        </is>
      </c>
      <c r="B3" s="2">
        <f>SUMIFS(CATEGORIZED_2025!$C:$C,CATEGORIZED_2025!$E:$E,"Labor",CATEGORIZED_2025!$G:$G,A3)</f>
        <v/>
      </c>
    </row>
    <row r="4">
      <c r="A4" t="inlineStr">
        <is>
          <t>Casey</t>
        </is>
      </c>
      <c r="B4" s="2">
        <f>SUMIFS(CATEGORIZED_2025!$C:$C,CATEGORIZED_2025!$E:$E,"Labor",CATEGORIZED_2025!$G:$G,A4)</f>
        <v/>
      </c>
    </row>
    <row r="5">
      <c r="A5" t="inlineStr">
        <is>
          <t>Tony</t>
        </is>
      </c>
      <c r="B5" s="2">
        <f>SUMIFS(CATEGORIZED_2025!$C:$C,CATEGORIZED_2025!$E:$E,"Labor",CATEGORIZED_2025!$G:$G,A5)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2026-03-31T16:42:05Z</dcterms:created>
  <dcterms:modified xmlns:dcterms="http://purl.org/dc/terms/" xmlns:xsi="http://www.w3.org/2001/XMLSchema-instance" xsi:type="dcterms:W3CDTF">2026-03-31T16:42:07Z</dcterms:modified>
</cp:coreProperties>
</file>