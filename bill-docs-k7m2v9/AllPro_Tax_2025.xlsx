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Writeoffs" sheetId="1" state="visible" r:id="rId1"/>
    <sheet xmlns:r="http://schemas.openxmlformats.org/officeDocument/2006/relationships" name="RAW_2025" sheetId="2" state="visible" r:id="rId2"/>
    <sheet xmlns:r="http://schemas.openxmlformats.org/officeDocument/2006/relationships" name="CATEGORIZED_2025" sheetId="3" state="visible" r:id="rId3"/>
    <sheet xmlns:r="http://schemas.openxmlformats.org/officeDocument/2006/relationships" name="P&amp;L_2025" sheetId="4" state="visible" r:id="rId4"/>
    <sheet xmlns:r="http://schemas.openxmlformats.org/officeDocument/2006/relationships" name="MONTHLY_2025" sheetId="5" state="visible" r:id="rId5"/>
    <sheet xmlns:r="http://schemas.openxmlformats.org/officeDocument/2006/relationships" name="LABOR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Vehicle ownership and Operation (Business only)</t>
        </is>
      </c>
      <c r="B1" s="2" t="n">
        <v>20676.13</v>
      </c>
    </row>
    <row r="3">
      <c r="A3" s="1" t="inlineStr">
        <is>
          <t>1099 Employees</t>
        </is>
      </c>
    </row>
    <row r="4">
      <c r="A4" t="inlineStr">
        <is>
          <t>Bryan</t>
        </is>
      </c>
      <c r="B4" s="2" t="n">
        <v>29578.02</v>
      </c>
    </row>
    <row r="5">
      <c r="A5" t="inlineStr">
        <is>
          <t>Jameson</t>
        </is>
      </c>
      <c r="B5" s="2" t="n">
        <v>0</v>
      </c>
    </row>
    <row r="6">
      <c r="A6" t="inlineStr">
        <is>
          <t>Casey</t>
        </is>
      </c>
      <c r="B6" s="2" t="n">
        <v>19616.47</v>
      </c>
    </row>
    <row r="7">
      <c r="A7" t="inlineStr">
        <is>
          <t>Tony</t>
        </is>
      </c>
      <c r="B7" s="2" t="n">
        <v>0</v>
      </c>
    </row>
    <row r="9">
      <c r="A9" s="1" t="inlineStr">
        <is>
          <t>Month</t>
        </is>
      </c>
      <c r="B9" s="1" t="inlineStr">
        <is>
          <t>Deposits</t>
        </is>
      </c>
      <c r="C9" s="1" t="inlineStr">
        <is>
          <t>Expenses</t>
        </is>
      </c>
      <c r="D9" s="1" t="inlineStr">
        <is>
          <t>Bill Pay</t>
        </is>
      </c>
      <c r="G9" s="1" t="inlineStr">
        <is>
          <t>Difference</t>
        </is>
      </c>
      <c r="H9" s="1" t="inlineStr">
        <is>
          <t>Car Write off</t>
        </is>
      </c>
      <c r="I9" s="1" t="inlineStr">
        <is>
          <t>Difference</t>
        </is>
      </c>
      <c r="J9" s="1" t="inlineStr">
        <is>
          <t>1099</t>
        </is>
      </c>
      <c r="K9" s="1" t="inlineStr">
        <is>
          <t>Total Loss</t>
        </is>
      </c>
    </row>
    <row r="10">
      <c r="A10" t="inlineStr">
        <is>
          <t>January</t>
        </is>
      </c>
      <c r="B10" s="2" t="n">
        <v>7113.78</v>
      </c>
      <c r="C10" s="2" t="n">
        <v>11377.59</v>
      </c>
      <c r="D10" s="2" t="n">
        <v>8590</v>
      </c>
    </row>
    <row r="11">
      <c r="A11" t="inlineStr">
        <is>
          <t>February</t>
        </is>
      </c>
      <c r="B11" s="2" t="n">
        <v>0</v>
      </c>
      <c r="C11" s="2" t="n">
        <v>25311.08</v>
      </c>
      <c r="D11" s="2" t="n">
        <v>7205.5</v>
      </c>
    </row>
    <row r="12">
      <c r="A12" t="inlineStr">
        <is>
          <t>March</t>
        </is>
      </c>
      <c r="B12" s="2" t="n">
        <v>3575</v>
      </c>
      <c r="C12" s="2" t="n">
        <v>22238.06</v>
      </c>
      <c r="D12" s="2" t="n">
        <v>4008</v>
      </c>
    </row>
    <row r="13">
      <c r="A13" t="inlineStr">
        <is>
          <t>April</t>
        </is>
      </c>
      <c r="B13" s="2" t="n">
        <v>15160</v>
      </c>
      <c r="C13" s="2" t="n">
        <v>19902.05</v>
      </c>
      <c r="D13" s="2" t="n">
        <v>5128.23</v>
      </c>
    </row>
    <row r="14">
      <c r="A14" t="inlineStr">
        <is>
          <t>May</t>
        </is>
      </c>
      <c r="B14" s="2" t="n">
        <v>99479.82000000001</v>
      </c>
      <c r="C14" s="2" t="n">
        <v>7739.21</v>
      </c>
      <c r="D14" s="2" t="n">
        <v>2350</v>
      </c>
    </row>
    <row r="15">
      <c r="A15" t="inlineStr">
        <is>
          <t>June</t>
        </is>
      </c>
      <c r="B15" s="2" t="n">
        <v>8705</v>
      </c>
      <c r="C15" s="2" t="n">
        <v>9820.15</v>
      </c>
      <c r="D15" s="2" t="n">
        <v>2155.35</v>
      </c>
    </row>
    <row r="16">
      <c r="A16" t="inlineStr">
        <is>
          <t>July</t>
        </is>
      </c>
      <c r="B16" s="2" t="n">
        <v>29245.94</v>
      </c>
      <c r="C16" s="2" t="n">
        <v>13960.55</v>
      </c>
      <c r="D16" s="2" t="n">
        <v>6482.06</v>
      </c>
    </row>
    <row r="17">
      <c r="A17" t="inlineStr">
        <is>
          <t>August</t>
        </is>
      </c>
      <c r="B17" s="2" t="n">
        <v>40112.38</v>
      </c>
      <c r="C17" s="2" t="n">
        <v>5191.33</v>
      </c>
      <c r="D17" s="2" t="n">
        <v>2658.02</v>
      </c>
    </row>
    <row r="18">
      <c r="A18" t="inlineStr">
        <is>
          <t>September</t>
        </is>
      </c>
      <c r="B18" s="2" t="n">
        <v>38566.18</v>
      </c>
      <c r="C18" s="2" t="n">
        <v>5088.45</v>
      </c>
      <c r="D18" s="2" t="n">
        <v>1400</v>
      </c>
    </row>
    <row r="19">
      <c r="A19" t="inlineStr">
        <is>
          <t>October</t>
        </is>
      </c>
      <c r="B19" s="2" t="n">
        <v>33110.82</v>
      </c>
      <c r="C19" s="2" t="n">
        <v>16792.53</v>
      </c>
      <c r="D19" s="2" t="n">
        <v>7614</v>
      </c>
    </row>
    <row r="20">
      <c r="A20" t="inlineStr">
        <is>
          <t>November</t>
        </is>
      </c>
      <c r="B20" s="2" t="n">
        <v>46059.53</v>
      </c>
      <c r="C20" s="2" t="n">
        <v>2446.6</v>
      </c>
      <c r="D20" s="2" t="n">
        <v>210</v>
      </c>
    </row>
    <row r="21">
      <c r="A21" t="inlineStr">
        <is>
          <t>December</t>
        </is>
      </c>
      <c r="B21" s="2" t="n">
        <v>68733.48</v>
      </c>
      <c r="C21" s="2" t="n">
        <v>1477.77</v>
      </c>
      <c r="D21" s="2" t="n">
        <v>1393.33</v>
      </c>
    </row>
    <row r="22">
      <c r="A22" s="1" t="inlineStr">
        <is>
          <t>Total</t>
        </is>
      </c>
      <c r="B22" s="3">
        <f>SUM(B10:B21)</f>
        <v/>
      </c>
      <c r="C22" s="3">
        <f>SUM(C10:C21)</f>
        <v/>
      </c>
      <c r="D22" s="3">
        <f>SUM(D10:D21)</f>
        <v/>
      </c>
      <c r="G22" s="3">
        <f>B22-C22-D22</f>
        <v/>
      </c>
      <c r="H22" s="3" t="n">
        <v>20676.13</v>
      </c>
      <c r="I22" s="3">
        <f>G22-H22</f>
        <v/>
      </c>
      <c r="J22" s="3">
        <f>SUM(B4:B7)</f>
        <v/>
      </c>
      <c r="K22" s="3">
        <f>I22-J22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</row>
    <row r="2">
      <c r="A2" s="5" t="n">
        <v>45659</v>
      </c>
      <c r="B2" t="inlineStr">
        <is>
          <t>Card Withdrawals - Debit Purchase - VISA On 123124 800-956-6310 IL 6122674711 $</t>
        </is>
      </c>
      <c r="C2" t="n">
        <v>409.37</v>
      </c>
      <c r="D2" t="inlineStr">
        <is>
          <t>Debit</t>
        </is>
      </c>
    </row>
    <row r="3">
      <c r="A3" s="5" t="n">
        <v>45659</v>
      </c>
      <c r="B3" t="inlineStr">
        <is>
          <t>Other Withdrawals - Zelle Instant PMT To Nadia Session $</t>
        </is>
      </c>
      <c r="C3" t="n">
        <v>247</v>
      </c>
      <c r="D3" t="inlineStr">
        <is>
          <t>Debit</t>
        </is>
      </c>
    </row>
    <row r="4">
      <c r="A4" s="5" t="n">
        <v>45660</v>
      </c>
      <c r="B4" t="inlineStr">
        <is>
          <t>Other Withdrawals - Zelle Instant PMT To Brian Davis</t>
        </is>
      </c>
      <c r="C4" t="n">
        <v>1120</v>
      </c>
      <c r="D4" t="inlineStr">
        <is>
          <t>Debit</t>
        </is>
      </c>
    </row>
    <row r="5">
      <c r="A5" s="5" t="n">
        <v>45660</v>
      </c>
      <c r="B5" t="inlineStr">
        <is>
          <t>Other Withdrawals - Zelle Instant PMT To Casey Williamson</t>
        </is>
      </c>
      <c r="C5" t="n">
        <v>600</v>
      </c>
      <c r="D5" t="inlineStr">
        <is>
          <t>Debit</t>
        </is>
      </c>
    </row>
    <row r="6">
      <c r="A6" s="5" t="n">
        <v>45663</v>
      </c>
      <c r="B6" t="inlineStr">
        <is>
          <t>Other Withdrawals - Electronic Withdrawal To CEFCU TEL DEBIT</t>
        </is>
      </c>
      <c r="C6" t="n">
        <v>1042.46</v>
      </c>
      <c r="D6" t="inlineStr">
        <is>
          <t>Debit</t>
        </is>
      </c>
    </row>
    <row r="7">
      <c r="A7" s="5" t="n">
        <v>45664</v>
      </c>
      <c r="B7" t="inlineStr">
        <is>
          <t>Other Withdrawals - Mobile Banking Transfer To Account 152316874980</t>
        </is>
      </c>
      <c r="C7" t="n">
        <v>15</v>
      </c>
      <c r="D7" t="inlineStr">
        <is>
          <t>Debit</t>
        </is>
      </c>
    </row>
    <row r="8">
      <c r="A8" s="5" t="n">
        <v>45665</v>
      </c>
      <c r="B8" t="inlineStr">
        <is>
          <t>Card Withdrawals - Debit Purchase - VISA On 010725 O FALLON IL 7001446395</t>
        </is>
      </c>
      <c r="C8" t="n">
        <v>2.19</v>
      </c>
      <c r="D8" t="inlineStr">
        <is>
          <t>Debit</t>
        </is>
      </c>
    </row>
    <row r="9">
      <c r="A9" s="5" t="n">
        <v>45665</v>
      </c>
      <c r="B9" t="inlineStr">
        <is>
          <t>Other Deposits - Debit Purchase Ret - VISA On 010725 8664244197 IL 7063781288 $</t>
        </is>
      </c>
      <c r="C9" t="n">
        <v>13.78</v>
      </c>
      <c r="D9" t="inlineStr">
        <is>
          <t>Credit</t>
        </is>
      </c>
    </row>
    <row r="10">
      <c r="A10" s="5" t="n">
        <v>45665</v>
      </c>
      <c r="B10" t="inlineStr">
        <is>
          <t>Other Withdrawals - Electronic Withdrawal To Mission Lane LLC</t>
        </is>
      </c>
      <c r="C10" t="n">
        <v>67.44</v>
      </c>
      <c r="D10" t="inlineStr">
        <is>
          <t>Debit</t>
        </is>
      </c>
    </row>
    <row r="11">
      <c r="A11" s="5" t="n">
        <v>45666</v>
      </c>
      <c r="B11" t="inlineStr">
        <is>
          <t>Card Withdrawals - Debit Purchase - VISA On 010725 618-2869595 IL 8109867096</t>
        </is>
      </c>
      <c r="C11" t="n">
        <v>440</v>
      </c>
      <c r="D11" t="inlineStr">
        <is>
          <t>Debit</t>
        </is>
      </c>
    </row>
    <row r="12">
      <c r="A12" s="5" t="n">
        <v>45666</v>
      </c>
      <c r="B12" t="inlineStr">
        <is>
          <t>Other Withdrawals - Zelle Instant PMT To Brian Davis</t>
        </is>
      </c>
      <c r="C12" t="n">
        <v>80</v>
      </c>
      <c r="D12" t="inlineStr">
        <is>
          <t>Debit</t>
        </is>
      </c>
    </row>
    <row r="13">
      <c r="A13" s="5" t="n">
        <v>45667</v>
      </c>
      <c r="B13" t="inlineStr">
        <is>
          <t>Card Withdrawals - Debit Purchase MOTOMART FREEBURG IL</t>
        </is>
      </c>
      <c r="C13" t="n">
        <v>61.97</v>
      </c>
      <c r="D13" t="inlineStr">
        <is>
          <t>Debit</t>
        </is>
      </c>
    </row>
    <row r="14">
      <c r="A14" s="5" t="n">
        <v>45667</v>
      </c>
      <c r="B14" t="inlineStr">
        <is>
          <t>Other Withdrawals - Mobile Banking Transfer To Account 152316875235</t>
        </is>
      </c>
      <c r="C14" t="n">
        <v>300</v>
      </c>
      <c r="D14" t="inlineStr">
        <is>
          <t>Debit</t>
        </is>
      </c>
    </row>
    <row r="15">
      <c r="A15" s="5" t="n">
        <v>45667</v>
      </c>
      <c r="B15" t="inlineStr">
        <is>
          <t>Other Withdrawals - Zelle Instant PMT To Brian Davis</t>
        </is>
      </c>
      <c r="C15" t="n">
        <v>945</v>
      </c>
      <c r="D15" t="inlineStr">
        <is>
          <t>Debit</t>
        </is>
      </c>
    </row>
    <row r="16">
      <c r="A16" s="5" t="n">
        <v>45667</v>
      </c>
      <c r="B16" t="inlineStr">
        <is>
          <t>Other Withdrawals - Zelle Instant PMT To Casey Williamson</t>
        </is>
      </c>
      <c r="C16" t="n">
        <v>575</v>
      </c>
      <c r="D16" t="inlineStr">
        <is>
          <t>Debit</t>
        </is>
      </c>
    </row>
    <row r="17">
      <c r="A17" s="5" t="n">
        <v>45670</v>
      </c>
      <c r="B17" t="inlineStr">
        <is>
          <t>Card Withdrawals - ATM Withdrawal 300 S GREEN MOUN BELLEVILLE IL</t>
        </is>
      </c>
      <c r="C17" t="n">
        <v>103.95</v>
      </c>
      <c r="D17" t="inlineStr">
        <is>
          <t>Debit</t>
        </is>
      </c>
    </row>
    <row r="18">
      <c r="A18" s="5" t="n">
        <v>45670</v>
      </c>
      <c r="B18" t="inlineStr">
        <is>
          <t>Card Withdrawals - Debit Purchase - VISA On 011125 Visa Direct NY 1000183320</t>
        </is>
      </c>
      <c r="C18" t="n">
        <v>100</v>
      </c>
      <c r="D18" t="inlineStr">
        <is>
          <t>Debit</t>
        </is>
      </c>
    </row>
    <row r="19">
      <c r="A19" s="5" t="n">
        <v>45670</v>
      </c>
      <c r="B19" t="inlineStr">
        <is>
          <t>Card Withdrawals - Debit Purchase CIRCLE K # 01361 BELLEVILLE IL</t>
        </is>
      </c>
      <c r="C19" t="n">
        <v>27.01</v>
      </c>
      <c r="D19" t="inlineStr">
        <is>
          <t>Debit</t>
        </is>
      </c>
    </row>
    <row r="20">
      <c r="A20" s="5" t="n">
        <v>45670</v>
      </c>
      <c r="B20" t="inlineStr">
        <is>
          <t>Card Withdrawals - Debit Purchase MOTOMART FREEBURG IL</t>
        </is>
      </c>
      <c r="C20" t="n">
        <v>87.64</v>
      </c>
      <c r="D20" t="inlineStr">
        <is>
          <t>Debit</t>
        </is>
      </c>
    </row>
    <row r="21">
      <c r="A21" s="5" t="n">
        <v>45670</v>
      </c>
      <c r="B21" t="inlineStr">
        <is>
          <t>Card Withdrawals - Debit Purchase THE HOME DEPOT # BELLEVILLE IL 6901111158</t>
        </is>
      </c>
      <c r="C21" t="n">
        <v>371.21</v>
      </c>
      <c r="D21" t="inlineStr">
        <is>
          <t>Debit</t>
        </is>
      </c>
    </row>
    <row r="22">
      <c r="A22" s="5" t="n">
        <v>45670</v>
      </c>
      <c r="B22" t="inlineStr">
        <is>
          <t>Card Withdrawals - Fee ATM Withdrawal At Other Network 1300000717 $</t>
        </is>
      </c>
      <c r="C22" t="n">
        <v>2.5</v>
      </c>
      <c r="D22" t="inlineStr">
        <is>
          <t>Debit</t>
        </is>
      </c>
    </row>
    <row r="23">
      <c r="A23" s="5" t="n">
        <v>45670</v>
      </c>
      <c r="B23" t="inlineStr">
        <is>
          <t>Other Withdrawals - Electronic Withdrawal To MERCURY CARD FBT</t>
        </is>
      </c>
      <c r="C23" t="n">
        <v>573.53</v>
      </c>
      <c r="D23" t="inlineStr">
        <is>
          <t>Debit</t>
        </is>
      </c>
    </row>
    <row r="24">
      <c r="A24" s="5" t="n">
        <v>45672</v>
      </c>
      <c r="B24" t="inlineStr">
        <is>
          <t>Card Withdrawals - Debit Purchase - VISA On 011425 618-2330303 IL 5006499752</t>
        </is>
      </c>
      <c r="C24" t="n">
        <v>74.54000000000001</v>
      </c>
      <c r="D24" t="inlineStr">
        <is>
          <t>Debit</t>
        </is>
      </c>
    </row>
    <row r="25">
      <c r="A25" s="5" t="n">
        <v>45672</v>
      </c>
      <c r="B25" t="inlineStr">
        <is>
          <t>Card Withdrawals - Debit Purchase - VISA On 011425 FREEBURG IL 4720240094</t>
        </is>
      </c>
      <c r="C25" t="n">
        <v>3.6</v>
      </c>
      <c r="D25" t="inlineStr">
        <is>
          <t>Debit</t>
        </is>
      </c>
    </row>
    <row r="26">
      <c r="A26" s="5" t="n">
        <v>45672</v>
      </c>
      <c r="B26" t="inlineStr">
        <is>
          <t>Card Withdrawals - Debit Purchase CIRCLE K # 01343 SHILOH IL</t>
        </is>
      </c>
      <c r="C26" t="n">
        <v>28.98</v>
      </c>
      <c r="D26" t="inlineStr">
        <is>
          <t>Debit</t>
        </is>
      </c>
    </row>
    <row r="27">
      <c r="A27" s="5" t="n">
        <v>45672</v>
      </c>
      <c r="B27" t="inlineStr">
        <is>
          <t>Other Deposits - Mobile Check Deposit 8613623522</t>
        </is>
      </c>
      <c r="C27" t="n">
        <v>4400</v>
      </c>
      <c r="D27" t="inlineStr">
        <is>
          <t>Credit</t>
        </is>
      </c>
    </row>
    <row r="28">
      <c r="A28" s="5" t="n">
        <v>45672</v>
      </c>
      <c r="B28" t="inlineStr">
        <is>
          <t>Other Withdrawals - Analysis Service Charge 1600000000</t>
        </is>
      </c>
      <c r="C28" t="n">
        <v>16</v>
      </c>
      <c r="D28" t="inlineStr">
        <is>
          <t>Debit</t>
        </is>
      </c>
    </row>
    <row r="29">
      <c r="A29" s="5" t="n">
        <v>45672</v>
      </c>
      <c r="B29" t="inlineStr">
        <is>
          <t>Other Withdrawals - Electronic Withdrawal To CATHOLIC CCU</t>
        </is>
      </c>
      <c r="C29" t="n">
        <v>572.5</v>
      </c>
      <c r="D29" t="inlineStr">
        <is>
          <t>Debit</t>
        </is>
      </c>
    </row>
    <row r="30">
      <c r="A30" s="5" t="n">
        <v>45672</v>
      </c>
      <c r="B30" t="inlineStr">
        <is>
          <t>Other Withdrawals - Zelle Instant PMT To Tabitha Session</t>
        </is>
      </c>
      <c r="C30" t="n">
        <v>122</v>
      </c>
      <c r="D30" t="inlineStr">
        <is>
          <t>Debit</t>
        </is>
      </c>
    </row>
    <row r="31">
      <c r="A31" s="5" t="n">
        <v>45673</v>
      </c>
      <c r="B31" t="inlineStr">
        <is>
          <t>Card Withdrawals - ATM Withdrawal 1291 OLD BALDWIN NEW ATHENS IL</t>
        </is>
      </c>
      <c r="C31" t="n">
        <v>103.25</v>
      </c>
      <c r="D31" t="inlineStr">
        <is>
          <t>Debit</t>
        </is>
      </c>
    </row>
    <row r="32">
      <c r="A32" s="5" t="n">
        <v>45673</v>
      </c>
      <c r="B32" t="inlineStr">
        <is>
          <t>Card Withdrawals - Debit Purchase - VISA On 011425 BELLEVILLE IL 5500546066</t>
        </is>
      </c>
      <c r="C32" t="n">
        <v>10.68</v>
      </c>
      <c r="D32" t="inlineStr">
        <is>
          <t>Debit</t>
        </is>
      </c>
    </row>
    <row r="33">
      <c r="A33" s="5" t="n">
        <v>45673</v>
      </c>
      <c r="B33" t="inlineStr">
        <is>
          <t>Card Withdrawals - Fee ATM Withdrawal At Other Network 1600000085</t>
        </is>
      </c>
      <c r="C33" t="n">
        <v>2.5</v>
      </c>
      <c r="D33" t="inlineStr">
        <is>
          <t>Debit</t>
        </is>
      </c>
    </row>
    <row r="34">
      <c r="A34" s="5" t="n">
        <v>45673</v>
      </c>
      <c r="B34" t="inlineStr">
        <is>
          <t>Other Deposits - Mobile Banking Transfer From Account 152316874980</t>
        </is>
      </c>
      <c r="C34" t="n">
        <v>2700</v>
      </c>
      <c r="D34" t="inlineStr">
        <is>
          <t>Credit</t>
        </is>
      </c>
    </row>
    <row r="35">
      <c r="A35" s="5" t="n">
        <v>45673</v>
      </c>
      <c r="B35" t="inlineStr">
        <is>
          <t>Other Withdrawals - Mobile Banking Payment To Credit Card *************3424</t>
        </is>
      </c>
      <c r="C35" t="n">
        <v>1979.96</v>
      </c>
      <c r="D35" t="inlineStr">
        <is>
          <t>Debit</t>
        </is>
      </c>
    </row>
    <row r="36">
      <c r="A36" s="5" t="n">
        <v>45673</v>
      </c>
      <c r="B36" t="inlineStr">
        <is>
          <t>Other Withdrawals - Mobile Banking Transfer To Account 152316875235</t>
        </is>
      </c>
      <c r="C36" t="n">
        <v>500</v>
      </c>
      <c r="D36" t="inlineStr">
        <is>
          <t>Debit</t>
        </is>
      </c>
    </row>
    <row r="37">
      <c r="A37" s="5" t="n">
        <v>45674</v>
      </c>
      <c r="B37" t="inlineStr">
        <is>
          <t>Card Withdrawals - Debit Purchase MOTOMART FREEBURG IL</t>
        </is>
      </c>
      <c r="C37" t="n">
        <v>12.7</v>
      </c>
      <c r="D37" t="inlineStr">
        <is>
          <t>Debit</t>
        </is>
      </c>
    </row>
    <row r="38">
      <c r="A38" s="5" t="n">
        <v>45674</v>
      </c>
      <c r="B38" t="inlineStr">
        <is>
          <t>Card Withdrawals - Debit Purchase MOTOMART FREEBURG IL</t>
        </is>
      </c>
      <c r="C38" t="n">
        <v>85.87</v>
      </c>
      <c r="D38" t="inlineStr">
        <is>
          <t>Debit</t>
        </is>
      </c>
    </row>
    <row r="39">
      <c r="A39" s="5" t="n">
        <v>45674</v>
      </c>
      <c r="B39" t="inlineStr">
        <is>
          <t>Other Withdrawals - Electronic Withdrawal To MIDLAND MTG</t>
        </is>
      </c>
      <c r="C39" t="n">
        <v>1089.56</v>
      </c>
      <c r="D39" t="inlineStr">
        <is>
          <t>Debit</t>
        </is>
      </c>
    </row>
    <row r="40">
      <c r="A40" s="5" t="n">
        <v>45674</v>
      </c>
      <c r="B40" t="inlineStr">
        <is>
          <t>Other Withdrawals - Zelle Instant PMT To BRIAN DAVIS</t>
        </is>
      </c>
      <c r="C40" t="n">
        <v>1330</v>
      </c>
      <c r="D40" t="inlineStr">
        <is>
          <t>Debit</t>
        </is>
      </c>
    </row>
    <row r="41">
      <c r="A41" s="5" t="n">
        <v>45674</v>
      </c>
      <c r="B41" t="inlineStr">
        <is>
          <t>Other Withdrawals - Zelle Instant PMT To Casey Williamson</t>
        </is>
      </c>
      <c r="C41" t="n">
        <v>600</v>
      </c>
      <c r="D41" t="inlineStr">
        <is>
          <t>Debit</t>
        </is>
      </c>
    </row>
    <row r="42">
      <c r="A42" s="5" t="n">
        <v>45674</v>
      </c>
      <c r="B42" t="inlineStr">
        <is>
          <t>Other Withdrawals - Zelle Instant PMT To Nadia Session</t>
        </is>
      </c>
      <c r="C42" t="n">
        <v>100</v>
      </c>
      <c r="D42" t="inlineStr">
        <is>
          <t>Debit</t>
        </is>
      </c>
    </row>
    <row r="43">
      <c r="A43" s="5" t="n">
        <v>45678</v>
      </c>
      <c r="B43" t="inlineStr">
        <is>
          <t>Card Withdrawals - Debit Purchase DOLLAR-GENERAL # FREEBURG IL 2301191431</t>
        </is>
      </c>
      <c r="C43" t="n">
        <v>87.41</v>
      </c>
      <c r="D43" t="inlineStr">
        <is>
          <t>Debit</t>
        </is>
      </c>
    </row>
    <row r="44">
      <c r="A44" s="5" t="n">
        <v>45678</v>
      </c>
      <c r="B44" t="inlineStr">
        <is>
          <t>Card Withdrawals - Debit Purchase verifyvend855-55 PROVIDENCE RI 1201201605</t>
        </is>
      </c>
      <c r="C44" t="n">
        <v>236</v>
      </c>
      <c r="D44" t="inlineStr">
        <is>
          <t>Debit</t>
        </is>
      </c>
    </row>
    <row r="45">
      <c r="A45" s="5" t="n">
        <v>45680</v>
      </c>
      <c r="B45" t="inlineStr">
        <is>
          <t>Other Withdrawals - Mobile Banking Transfer To Account 152316874980</t>
        </is>
      </c>
      <c r="C45" t="n">
        <v>66</v>
      </c>
      <c r="D45" t="inlineStr">
        <is>
          <t>Debit</t>
        </is>
      </c>
    </row>
    <row r="46">
      <c r="A46" s="5" t="n">
        <v>45681</v>
      </c>
      <c r="B46" t="inlineStr">
        <is>
          <t>Other Withdrawals - Mobile Banking Transfer To Account 152316875235</t>
        </is>
      </c>
      <c r="C46" t="n">
        <v>850</v>
      </c>
      <c r="D46" t="inlineStr">
        <is>
          <t>Debit</t>
        </is>
      </c>
    </row>
    <row r="47">
      <c r="A47" s="5" t="n">
        <v>45681</v>
      </c>
      <c r="B47" t="inlineStr">
        <is>
          <t>Other Withdrawals - Zelle Instant PMT To Brian Davis</t>
        </is>
      </c>
      <c r="C47" t="n">
        <v>890</v>
      </c>
      <c r="D47" t="inlineStr">
        <is>
          <t>Debit</t>
        </is>
      </c>
    </row>
    <row r="48">
      <c r="A48" s="5" t="n">
        <v>45681</v>
      </c>
      <c r="B48" t="inlineStr">
        <is>
          <t>Other Withdrawals - Zelle Instant PMT To Casey Williamson</t>
        </is>
      </c>
      <c r="C48" t="n">
        <v>200</v>
      </c>
      <c r="D48" t="inlineStr">
        <is>
          <t>Debit</t>
        </is>
      </c>
    </row>
    <row r="49">
      <c r="A49" s="5" t="n">
        <v>45684</v>
      </c>
      <c r="B49" t="inlineStr">
        <is>
          <t>Card Withdrawals - Debit Purchase MOTOMART FREEBURG IL</t>
        </is>
      </c>
      <c r="C49" t="n">
        <v>86.56999999999999</v>
      </c>
      <c r="D49" t="inlineStr">
        <is>
          <t>Debit</t>
        </is>
      </c>
    </row>
    <row r="50">
      <c r="A50" s="5" t="n">
        <v>45684</v>
      </c>
      <c r="B50" t="inlineStr">
        <is>
          <t>Card Withdrawals - Recurring Debit Purchase On 012525 888-270-2644 IN 6101039921</t>
        </is>
      </c>
      <c r="C50" t="n">
        <v>817.5</v>
      </c>
      <c r="D50" t="inlineStr">
        <is>
          <t>Debit</t>
        </is>
      </c>
    </row>
    <row r="51">
      <c r="A51" s="5" t="n">
        <v>45685</v>
      </c>
      <c r="B51" t="inlineStr">
        <is>
          <t>Card Withdrawals - Debit Purchase MOTOMART FREEBURG IL</t>
        </is>
      </c>
      <c r="C51" t="n">
        <v>82.94</v>
      </c>
      <c r="D51" t="inlineStr">
        <is>
          <t>Debit</t>
        </is>
      </c>
    </row>
    <row r="52">
      <c r="A52" s="5" t="n">
        <v>45688</v>
      </c>
      <c r="B52" t="inlineStr">
        <is>
          <t>Card Withdrawals - Recurring Debit Purchase On 013025 800-956-6310 IL 0140734882</t>
        </is>
      </c>
      <c r="C52" t="n">
        <v>328.76</v>
      </c>
      <c r="D52" t="inlineStr">
        <is>
          <t>Debit</t>
        </is>
      </c>
    </row>
    <row r="53">
      <c r="A53" s="5" t="n">
        <v>45688</v>
      </c>
      <c r="B53" t="inlineStr">
        <is>
          <t>Other Withdrawals - Customer Withdrawal 9213013769</t>
        </is>
      </c>
      <c r="C53" t="n">
        <v>2000</v>
      </c>
      <c r="D53" t="inlineStr">
        <is>
          <t>Debit</t>
        </is>
      </c>
    </row>
    <row r="54">
      <c r="A54" s="5" t="n">
        <v>45688</v>
      </c>
      <c r="B54" t="inlineStr">
        <is>
          <t>Other Withdrawals - Mobile Banking Transfer To Account 152316875235</t>
        </is>
      </c>
      <c r="C54" t="n">
        <v>750</v>
      </c>
      <c r="D54" t="inlineStr">
        <is>
          <t>Debit</t>
        </is>
      </c>
    </row>
    <row r="55">
      <c r="A55" s="5" t="n">
        <v>45688</v>
      </c>
      <c r="B55" t="inlineStr">
        <is>
          <t>Other Withdrawals - Zelle Instant PMT To Brian Davis</t>
        </is>
      </c>
      <c r="C55" t="n">
        <v>1450</v>
      </c>
      <c r="D55" t="inlineStr">
        <is>
          <t>Debit</t>
        </is>
      </c>
    </row>
    <row r="56">
      <c r="A56" s="5" t="n">
        <v>45688</v>
      </c>
      <c r="B56" t="inlineStr">
        <is>
          <t>Other Withdrawals - Zelle Instant PMT To Casey Williamson</t>
        </is>
      </c>
      <c r="C56" t="n">
        <v>800</v>
      </c>
      <c r="D56" t="inlineStr">
        <is>
          <t>Debit</t>
        </is>
      </c>
    </row>
    <row r="57">
      <c r="A57" s="5" t="n">
        <v>45691</v>
      </c>
      <c r="B57" t="inlineStr">
        <is>
          <t>Card Withdrawals - ATM Withdrawal 1291 OLD BALDWIN NEW ATHENS IL</t>
        </is>
      </c>
      <c r="C57" t="n">
        <v>203.25</v>
      </c>
      <c r="D57" t="inlineStr">
        <is>
          <t>Debit</t>
        </is>
      </c>
    </row>
    <row r="58">
      <c r="A58" s="5" t="n">
        <v>45691</v>
      </c>
      <c r="B58" t="inlineStr">
        <is>
          <t>Card Withdrawals - ATM Withdrawal 301 SALEM PL FAIRVIEW HEI IL</t>
        </is>
      </c>
      <c r="C58" t="n">
        <v>103.95</v>
      </c>
      <c r="D58" t="inlineStr">
        <is>
          <t>Debit</t>
        </is>
      </c>
    </row>
    <row r="59">
      <c r="A59" s="5" t="n">
        <v>45691</v>
      </c>
      <c r="B59" t="inlineStr">
        <is>
          <t>Card Withdrawals - Debit Purchase CIRCLE K 01594 3 FAIRVIEW HEIIL $</t>
        </is>
      </c>
      <c r="C59" t="n">
        <v>93.23</v>
      </c>
      <c r="D59" t="inlineStr">
        <is>
          <t>Debit</t>
        </is>
      </c>
    </row>
    <row r="60">
      <c r="A60" s="5" t="n">
        <v>45691</v>
      </c>
      <c r="B60" t="inlineStr">
        <is>
          <t>Card Withdrawals - Fee ATM Withdrawal At Other Network 0300000324 $</t>
        </is>
      </c>
      <c r="C60" t="n">
        <v>2.5</v>
      </c>
      <c r="D60" t="inlineStr">
        <is>
          <t>Debit</t>
        </is>
      </c>
    </row>
    <row r="61">
      <c r="A61" s="5" t="n">
        <v>45691</v>
      </c>
      <c r="B61" t="inlineStr">
        <is>
          <t>Card Withdrawals - Fee ATM Withdrawal At Other Network 0300000325</t>
        </is>
      </c>
      <c r="C61" t="n">
        <v>2.5</v>
      </c>
      <c r="D61" t="inlineStr">
        <is>
          <t>Debit</t>
        </is>
      </c>
    </row>
    <row r="62">
      <c r="A62" s="5" t="n">
        <v>45691</v>
      </c>
      <c r="B62" t="inlineStr">
        <is>
          <t>Other Withdrawals - Electronic Withdrawal To DISCOVER</t>
        </is>
      </c>
      <c r="C62" t="n">
        <v>3906.11</v>
      </c>
      <c r="D62" t="inlineStr">
        <is>
          <t>Debit</t>
        </is>
      </c>
    </row>
    <row r="63">
      <c r="A63" s="5" t="n">
        <v>45691</v>
      </c>
      <c r="B63" t="inlineStr">
        <is>
          <t>Other Withdrawals - Electronic Withdrawal To DISCOVER $</t>
        </is>
      </c>
      <c r="C63" t="n">
        <v>34.85</v>
      </c>
      <c r="D63" t="inlineStr">
        <is>
          <t>Debit</t>
        </is>
      </c>
    </row>
    <row r="64">
      <c r="A64" s="5" t="n">
        <v>45691</v>
      </c>
      <c r="B64" t="inlineStr">
        <is>
          <t>Other Withdrawals - Electronic Withdrawal To MERCURY CARD FBT</t>
        </is>
      </c>
      <c r="C64" t="n">
        <v>1364.91</v>
      </c>
      <c r="D64" t="inlineStr">
        <is>
          <t>Debit</t>
        </is>
      </c>
    </row>
    <row r="65">
      <c r="A65" s="5" t="n">
        <v>45691</v>
      </c>
      <c r="B65" t="inlineStr">
        <is>
          <t>Other Withdrawals - Electronic Withdrawal To Mission Lane LLC</t>
        </is>
      </c>
      <c r="C65" t="n">
        <v>1110.22</v>
      </c>
      <c r="D65" t="inlineStr">
        <is>
          <t>Debit</t>
        </is>
      </c>
    </row>
    <row r="66">
      <c r="A66" s="5" t="n">
        <v>45691</v>
      </c>
      <c r="B66" t="inlineStr">
        <is>
          <t>Other Withdrawals - Mobile Banking Payment To Credit Card *************3424</t>
        </is>
      </c>
      <c r="C66" t="n">
        <v>1979.96</v>
      </c>
      <c r="D66" t="inlineStr">
        <is>
          <t>Debit</t>
        </is>
      </c>
    </row>
    <row r="67">
      <c r="A67" s="5" t="n">
        <v>45691</v>
      </c>
      <c r="B67" t="inlineStr">
        <is>
          <t>Other Withdrawals - Mobile Banking Transfer To Account 152316875235</t>
        </is>
      </c>
      <c r="C67" t="n">
        <v>288.8</v>
      </c>
      <c r="D67" t="inlineStr">
        <is>
          <t>Debit</t>
        </is>
      </c>
    </row>
    <row r="68">
      <c r="A68" s="5" t="n">
        <v>45692</v>
      </c>
      <c r="B68" t="inlineStr">
        <is>
          <t>Other Withdrawals - Electronic Withdrawal To CEFCU TEL DEBIT</t>
        </is>
      </c>
      <c r="C68" t="n">
        <v>1042.46</v>
      </c>
      <c r="D68" t="inlineStr">
        <is>
          <t>Debit</t>
        </is>
      </c>
    </row>
    <row r="69">
      <c r="A69" s="5" t="n">
        <v>45693</v>
      </c>
      <c r="B69" t="inlineStr">
        <is>
          <t>Other Withdrawals - Electronic Withdrawal To MIDLAND MTG</t>
        </is>
      </c>
      <c r="C69" t="n">
        <v>1089.56</v>
      </c>
      <c r="D69" t="inlineStr">
        <is>
          <t>Debit</t>
        </is>
      </c>
    </row>
    <row r="70">
      <c r="A70" s="5" t="n">
        <v>45694</v>
      </c>
      <c r="B70" t="inlineStr">
        <is>
          <t>Card Withdrawals - Debit Purchase verifyvend855-55 PROVIDENCE RI 0402061511</t>
        </is>
      </c>
      <c r="C70" t="n">
        <v>183</v>
      </c>
      <c r="D70" t="inlineStr">
        <is>
          <t>Debit</t>
        </is>
      </c>
    </row>
    <row r="71">
      <c r="A71" s="5" t="n">
        <v>45695</v>
      </c>
      <c r="B71" t="inlineStr">
        <is>
          <t>Card Withdrawals - Debit Purchase CASEYS #3252 129 NEW ATHENS IL 6202061905</t>
        </is>
      </c>
      <c r="C71" t="n">
        <v>12.5</v>
      </c>
      <c r="D71" t="inlineStr">
        <is>
          <t>Debit</t>
        </is>
      </c>
    </row>
    <row r="72">
      <c r="A72" s="5" t="n">
        <v>45695</v>
      </c>
      <c r="B72" t="inlineStr">
        <is>
          <t>Card Withdrawals - Debit Purchase MOTOMART FREEBURG IL</t>
        </is>
      </c>
      <c r="C72" t="n">
        <v>85.7</v>
      </c>
      <c r="D72" t="inlineStr">
        <is>
          <t>Debit</t>
        </is>
      </c>
    </row>
    <row r="73">
      <c r="A73" s="5" t="n">
        <v>45695</v>
      </c>
      <c r="B73" t="inlineStr">
        <is>
          <t>Other Withdrawals - Zelle Instant PMT To Brian Davis</t>
        </is>
      </c>
      <c r="C73" t="n">
        <v>1380</v>
      </c>
      <c r="D73" t="inlineStr">
        <is>
          <t>Debit</t>
        </is>
      </c>
    </row>
    <row r="74">
      <c r="A74" s="5" t="n">
        <v>45695</v>
      </c>
      <c r="B74" t="inlineStr">
        <is>
          <t>Other Withdrawals - Zelle Instant PMT To Casey Williamson</t>
        </is>
      </c>
      <c r="C74" t="n">
        <v>950</v>
      </c>
      <c r="D74" t="inlineStr">
        <is>
          <t>Debit</t>
        </is>
      </c>
    </row>
    <row r="75">
      <c r="A75" s="5" t="n">
        <v>45695</v>
      </c>
      <c r="B75" t="inlineStr">
        <is>
          <t>Other Withdrawals - Zelle Instant PMT To Tabitha Session</t>
        </is>
      </c>
      <c r="C75" t="n">
        <v>500</v>
      </c>
      <c r="D75" t="inlineStr">
        <is>
          <t>Debit</t>
        </is>
      </c>
    </row>
    <row r="76">
      <c r="A76" s="5" t="n">
        <v>45698</v>
      </c>
      <c r="B76" t="inlineStr">
        <is>
          <t>Card Withdrawals - Debit Purchase - VISA On 020625 SHILOH IL 8236407155</t>
        </is>
      </c>
      <c r="C76" t="n">
        <v>22.5</v>
      </c>
      <c r="D76" t="inlineStr">
        <is>
          <t>Debit</t>
        </is>
      </c>
    </row>
    <row r="77">
      <c r="A77" s="5" t="n">
        <v>45698</v>
      </c>
      <c r="B77" t="inlineStr">
        <is>
          <t>Other Withdrawals - Zelle Instant PMT To Nadia Session</t>
        </is>
      </c>
      <c r="C77" t="n">
        <v>243</v>
      </c>
      <c r="D77" t="inlineStr">
        <is>
          <t>Debit</t>
        </is>
      </c>
    </row>
    <row r="78">
      <c r="A78" s="5" t="n">
        <v>45698</v>
      </c>
      <c r="B78" t="inlineStr">
        <is>
          <t>Other Withdrawals - Zelle Instant PMT To Tabitha Session</t>
        </is>
      </c>
      <c r="C78" t="n">
        <v>60</v>
      </c>
      <c r="D78" t="inlineStr">
        <is>
          <t>Debit</t>
        </is>
      </c>
    </row>
    <row r="79">
      <c r="A79" s="5" t="n">
        <v>45698</v>
      </c>
      <c r="B79" t="inlineStr">
        <is>
          <t>Other Withdrawals - Zelle Instant PMT To Tabitha Session</t>
        </is>
      </c>
      <c r="C79" t="n">
        <v>70</v>
      </c>
      <c r="D79" t="inlineStr">
        <is>
          <t>Debit</t>
        </is>
      </c>
    </row>
    <row r="80">
      <c r="A80" s="5" t="n">
        <v>45698</v>
      </c>
      <c r="B80" t="inlineStr">
        <is>
          <t>Other Withdrawals - Zelle Instant PMT To Tabitha Session</t>
        </is>
      </c>
      <c r="C80" t="n">
        <v>140</v>
      </c>
      <c r="D80" t="inlineStr">
        <is>
          <t>Debit</t>
        </is>
      </c>
    </row>
    <row r="81">
      <c r="A81" s="5" t="n">
        <v>45698</v>
      </c>
      <c r="B81" t="inlineStr">
        <is>
          <t>Other Withdrawals - Zelle Instant PMT To Tabitha Session</t>
        </is>
      </c>
      <c r="C81" t="n">
        <v>250</v>
      </c>
      <c r="D81" t="inlineStr">
        <is>
          <t>Debit</t>
        </is>
      </c>
    </row>
    <row r="82">
      <c r="A82" s="5" t="n">
        <v>45699</v>
      </c>
      <c r="B82" t="inlineStr">
        <is>
          <t>Card Withdrawals - ATM Withdrawal 1291 OLD BALDWIN NEW ATHENS IL</t>
        </is>
      </c>
      <c r="C82" t="n">
        <v>203.25</v>
      </c>
      <c r="D82" t="inlineStr">
        <is>
          <t>Debit</t>
        </is>
      </c>
    </row>
    <row r="83">
      <c r="A83" s="5" t="n">
        <v>45699</v>
      </c>
      <c r="B83" t="inlineStr">
        <is>
          <t>Card Withdrawals - Fee ATM Withdrawal At Other Network 1100000109</t>
        </is>
      </c>
      <c r="C83" t="n">
        <v>2.5</v>
      </c>
      <c r="D83" t="inlineStr">
        <is>
          <t>Debit</t>
        </is>
      </c>
    </row>
    <row r="84">
      <c r="A84" s="5" t="n">
        <v>45700</v>
      </c>
      <c r="B84" t="inlineStr">
        <is>
          <t>Card Withdrawals - Debit Purchase DOLLAR-GENERAL # FREEBURG IL 9502121134</t>
        </is>
      </c>
      <c r="C84" t="n">
        <v>77.55</v>
      </c>
      <c r="D84" t="inlineStr">
        <is>
          <t>Debit</t>
        </is>
      </c>
    </row>
    <row r="85">
      <c r="A85" s="5" t="n">
        <v>45700</v>
      </c>
      <c r="B85" t="inlineStr">
        <is>
          <t>Other Withdrawals - Zelle Instant PMT To Tabitha Session</t>
        </is>
      </c>
      <c r="C85" t="n">
        <v>182</v>
      </c>
      <c r="D85" t="inlineStr">
        <is>
          <t>Debit</t>
        </is>
      </c>
    </row>
    <row r="86">
      <c r="A86" s="5" t="n">
        <v>45701</v>
      </c>
      <c r="B86" t="inlineStr">
        <is>
          <t>Card Withdrawals - Debit Purchase - VISA On 021225 BELLEVILLE IL 4106251248</t>
        </is>
      </c>
      <c r="C86" t="n">
        <v>39.45</v>
      </c>
      <c r="D86" t="inlineStr">
        <is>
          <t>Debit</t>
        </is>
      </c>
    </row>
    <row r="87">
      <c r="A87" s="5" t="n">
        <v>45702</v>
      </c>
      <c r="B87" t="inlineStr">
        <is>
          <t>Card Withdrawals - Debit Purchase - VISA On 021225 FREEBURG IL 4300573998</t>
        </is>
      </c>
      <c r="C87" t="n">
        <v>76.28</v>
      </c>
      <c r="D87" t="inlineStr">
        <is>
          <t>Debit</t>
        </is>
      </c>
    </row>
    <row r="88">
      <c r="A88" s="5" t="n">
        <v>45702</v>
      </c>
      <c r="B88" t="inlineStr">
        <is>
          <t>Card Withdrawals - Debit Purchase verifyvend855-55 PROVIDENCE RI 4702141520</t>
        </is>
      </c>
      <c r="C88" t="n">
        <v>208</v>
      </c>
      <c r="D88" t="inlineStr">
        <is>
          <t>Debit</t>
        </is>
      </c>
    </row>
    <row r="89">
      <c r="A89" s="5" t="n">
        <v>45702</v>
      </c>
      <c r="B89" t="inlineStr">
        <is>
          <t>Other Withdrawals - Deposited Item Returned 1000101618</t>
        </is>
      </c>
      <c r="C89" t="n">
        <v>7013.16</v>
      </c>
      <c r="D89" t="inlineStr">
        <is>
          <t>Debit</t>
        </is>
      </c>
    </row>
    <row r="90">
      <c r="A90" s="5" t="n">
        <v>45702</v>
      </c>
      <c r="B90" t="inlineStr">
        <is>
          <t>Other Withdrawals - Mobile Banking Transfer To Account 152316875235</t>
        </is>
      </c>
      <c r="C90" t="n">
        <v>550</v>
      </c>
      <c r="D90" t="inlineStr">
        <is>
          <t>Debit</t>
        </is>
      </c>
    </row>
    <row r="91">
      <c r="A91" s="5" t="n">
        <v>45702</v>
      </c>
      <c r="B91" t="inlineStr">
        <is>
          <t>Other Withdrawals - Zelle Instant PMT To Brian Davis</t>
        </is>
      </c>
      <c r="C91" t="n">
        <v>1170</v>
      </c>
      <c r="D91" t="inlineStr">
        <is>
          <t>Debit</t>
        </is>
      </c>
    </row>
    <row r="92">
      <c r="A92" s="5" t="n">
        <v>45702</v>
      </c>
      <c r="B92" t="inlineStr">
        <is>
          <t>Other Withdrawals - Zelle Instant PMT To Casey Williamson</t>
        </is>
      </c>
      <c r="C92" t="n">
        <v>800</v>
      </c>
      <c r="D92" t="inlineStr">
        <is>
          <t>Debit</t>
        </is>
      </c>
    </row>
    <row r="93">
      <c r="A93" s="5" t="n">
        <v>45702</v>
      </c>
      <c r="B93" t="inlineStr">
        <is>
          <t>Other Withdrawals - Zelle Instant PMT To Nadia Session</t>
        </is>
      </c>
      <c r="C93" t="n">
        <v>100</v>
      </c>
      <c r="D93" t="inlineStr">
        <is>
          <t>Debit</t>
        </is>
      </c>
    </row>
    <row r="94">
      <c r="A94" s="5" t="n">
        <v>45706</v>
      </c>
      <c r="B94" t="inlineStr">
        <is>
          <t>Card Withdrawals - Debit Purchase verifyvend855-55 PROVIDENCE RI 5402171314</t>
        </is>
      </c>
      <c r="C94" t="n">
        <v>57</v>
      </c>
      <c r="D94" t="inlineStr">
        <is>
          <t>Debit</t>
        </is>
      </c>
    </row>
    <row r="95">
      <c r="A95" s="5" t="n">
        <v>45707</v>
      </c>
      <c r="B95" t="inlineStr">
        <is>
          <t>Card Withdrawals - Debit Purchase - VISA On 021825 BELLEVILLE IL 9300620697</t>
        </is>
      </c>
      <c r="C95" t="n">
        <v>31.37</v>
      </c>
      <c r="D95" t="inlineStr">
        <is>
          <t>Debit</t>
        </is>
      </c>
    </row>
    <row r="96">
      <c r="A96" s="5" t="n">
        <v>45707</v>
      </c>
      <c r="B96" t="inlineStr">
        <is>
          <t>Card Withdrawals - Debit Purchase MOTOMART FREEBURG IL</t>
        </is>
      </c>
      <c r="C96" t="n">
        <v>81.59999999999999</v>
      </c>
      <c r="D96" t="inlineStr">
        <is>
          <t>Debit</t>
        </is>
      </c>
    </row>
    <row r="97">
      <c r="A97" s="5" t="n">
        <v>45707</v>
      </c>
      <c r="B97" t="inlineStr">
        <is>
          <t>Other Withdrawals - Electronic Withdrawal To CATHOLIC CCU</t>
        </is>
      </c>
      <c r="C97" t="n">
        <v>572.5</v>
      </c>
      <c r="D97" t="inlineStr">
        <is>
          <t>Debit</t>
        </is>
      </c>
    </row>
    <row r="98">
      <c r="A98" s="5" t="n">
        <v>45708</v>
      </c>
      <c r="B98" t="inlineStr">
        <is>
          <t>Card Withdrawals - Debit Purchase HI-WAY LMB CO NEW ATHENS IL 8102201546</t>
        </is>
      </c>
      <c r="C98" t="n">
        <v>25.95</v>
      </c>
      <c r="D98" t="inlineStr">
        <is>
          <t>Debit</t>
        </is>
      </c>
    </row>
    <row r="99">
      <c r="A99" s="5" t="n">
        <v>45708</v>
      </c>
      <c r="B99" t="inlineStr">
        <is>
          <t>Other Withdrawals - Electronic Withdrawal To MERCURY CARD FBT</t>
        </is>
      </c>
      <c r="C99" t="n">
        <v>670.41</v>
      </c>
      <c r="D99" t="inlineStr">
        <is>
          <t>Debit</t>
        </is>
      </c>
    </row>
    <row r="100">
      <c r="A100" s="5" t="n">
        <v>45709</v>
      </c>
      <c r="B100" t="inlineStr">
        <is>
          <t>Other Withdrawals - Mobile Banking Transfer To Account 152316874980</t>
        </is>
      </c>
      <c r="C100" t="n">
        <v>750</v>
      </c>
      <c r="D100" t="inlineStr">
        <is>
          <t>Debit</t>
        </is>
      </c>
    </row>
    <row r="101">
      <c r="A101" s="5" t="n">
        <v>45709</v>
      </c>
      <c r="B101" t="inlineStr">
        <is>
          <t>Other Withdrawals - Zelle Instant PMT To BRIAN DAVIS</t>
        </is>
      </c>
      <c r="C101" t="n">
        <v>580</v>
      </c>
      <c r="D101" t="inlineStr">
        <is>
          <t>Debit</t>
        </is>
      </c>
    </row>
    <row r="102">
      <c r="A102" s="5" t="n">
        <v>45709</v>
      </c>
      <c r="B102" t="inlineStr">
        <is>
          <t>Other Withdrawals - Zelle Instant PMT To CASEY WILLIAMSON</t>
        </is>
      </c>
      <c r="C102" t="n">
        <v>400</v>
      </c>
      <c r="D102" t="inlineStr">
        <is>
          <t>Debit</t>
        </is>
      </c>
    </row>
    <row r="103">
      <c r="A103" s="5" t="n">
        <v>45712</v>
      </c>
      <c r="B103" t="inlineStr">
        <is>
          <t>Card Withdrawals - Debit Purchase - VISA On 022025 SWANSEA IL 2004371665</t>
        </is>
      </c>
      <c r="C103" t="n">
        <v>81.54000000000001</v>
      </c>
      <c r="D103" t="inlineStr">
        <is>
          <t>Debit</t>
        </is>
      </c>
    </row>
    <row r="104">
      <c r="A104" s="5" t="n">
        <v>45714</v>
      </c>
      <c r="B104" t="inlineStr">
        <is>
          <t>Card Withdrawals - Recurring Debit Purchase On 022525 888-270-2644 IN 6106932422</t>
        </is>
      </c>
      <c r="C104" t="n">
        <v>817.5</v>
      </c>
      <c r="D104" t="inlineStr">
        <is>
          <t>Debit</t>
        </is>
      </c>
    </row>
    <row r="105">
      <c r="A105" s="5" t="n">
        <v>45714</v>
      </c>
      <c r="B105" t="inlineStr">
        <is>
          <t>Other Withdrawals - Electronic Withdrawal To DISCOVER</t>
        </is>
      </c>
      <c r="C105" t="n">
        <v>2000</v>
      </c>
      <c r="D105" t="inlineStr">
        <is>
          <t>Debit</t>
        </is>
      </c>
    </row>
    <row r="106">
      <c r="A106" s="5" t="n">
        <v>45715</v>
      </c>
      <c r="B106" t="inlineStr">
        <is>
          <t>Card Withdrawals - Debit Purchase MOTOMART FREEBURG IL</t>
        </is>
      </c>
      <c r="C106" t="n">
        <v>83.31999999999999</v>
      </c>
      <c r="D106" t="inlineStr">
        <is>
          <t>Debit</t>
        </is>
      </c>
    </row>
    <row r="107">
      <c r="A107" s="5" t="n">
        <v>45716</v>
      </c>
      <c r="B107" t="inlineStr">
        <is>
          <t>Other Withdrawals - Mobile Banking Transfer To Account 152316875235</t>
        </is>
      </c>
      <c r="C107" t="n">
        <v>550</v>
      </c>
      <c r="D107" t="inlineStr">
        <is>
          <t>Debit</t>
        </is>
      </c>
    </row>
    <row r="108">
      <c r="A108" s="5" t="n">
        <v>45716</v>
      </c>
      <c r="B108" t="inlineStr">
        <is>
          <t>Other Withdrawals - Zelle Instant PMT To Brian Davis</t>
        </is>
      </c>
      <c r="C108" t="n">
        <v>1300</v>
      </c>
      <c r="D108" t="inlineStr">
        <is>
          <t>Debit</t>
        </is>
      </c>
    </row>
    <row r="109">
      <c r="A109" s="5" t="n">
        <v>45716</v>
      </c>
      <c r="B109" t="inlineStr">
        <is>
          <t>Other Withdrawals - Zelle Instant PMT To Casey Williamson</t>
        </is>
      </c>
      <c r="C109" t="n">
        <v>613</v>
      </c>
      <c r="D109" t="inlineStr">
        <is>
          <t>Debit</t>
        </is>
      </c>
    </row>
    <row r="110">
      <c r="A110" s="5" t="n">
        <v>45716</v>
      </c>
      <c r="B110" t="inlineStr">
        <is>
          <t>Other Withdrawals - Zelle Instant PMT To Nadia Session</t>
        </is>
      </c>
      <c r="C110" t="n">
        <v>100</v>
      </c>
      <c r="D110" t="inlineStr">
        <is>
          <t>Debit</t>
        </is>
      </c>
    </row>
    <row r="111">
      <c r="A111" s="5" t="n">
        <v>45716</v>
      </c>
      <c r="B111" t="inlineStr">
        <is>
          <t>Other Withdrawals - Zelle Instant PMT To Nadia Session</t>
        </is>
      </c>
      <c r="C111" t="n">
        <v>400</v>
      </c>
      <c r="D111" t="inlineStr">
        <is>
          <t>Debit</t>
        </is>
      </c>
    </row>
    <row r="112">
      <c r="A112" s="5" t="n">
        <v>45719</v>
      </c>
      <c r="B112" t="inlineStr">
        <is>
          <t>Card Withdrawals - Recurring Debit Purchase On 030125 800-956-6310 IL 0159232300 $</t>
        </is>
      </c>
      <c r="C112" t="n">
        <v>328.77</v>
      </c>
      <c r="D112" t="inlineStr">
        <is>
          <t>Debit</t>
        </is>
      </c>
    </row>
    <row r="113">
      <c r="A113" s="5" t="n">
        <v>45719</v>
      </c>
      <c r="B113" t="inlineStr">
        <is>
          <t>Other Withdrawals - Electronic Withdrawal To MERCURY CARD FBT $</t>
        </is>
      </c>
      <c r="C113" t="n">
        <v>610.09</v>
      </c>
      <c r="D113" t="inlineStr">
        <is>
          <t>Debit</t>
        </is>
      </c>
    </row>
    <row r="114">
      <c r="A114" s="5" t="n">
        <v>45720</v>
      </c>
      <c r="B114" t="inlineStr">
        <is>
          <t>Other Deposits - Visa Direct VENMO*Session Wi 6803031840 $</t>
        </is>
      </c>
      <c r="C114" t="n">
        <v>3575</v>
      </c>
      <c r="D114" t="inlineStr">
        <is>
          <t>Credit</t>
        </is>
      </c>
    </row>
    <row r="115">
      <c r="A115" s="5" t="n">
        <v>45720</v>
      </c>
      <c r="B115" t="inlineStr">
        <is>
          <t>Other Withdrawals - Mobile Banking Payment To Credit Card *************3424</t>
        </is>
      </c>
      <c r="C115" t="n">
        <v>650</v>
      </c>
      <c r="D115" t="inlineStr">
        <is>
          <t>Debit</t>
        </is>
      </c>
    </row>
    <row r="116">
      <c r="A116" s="5" t="n">
        <v>45720</v>
      </c>
      <c r="B116" t="inlineStr">
        <is>
          <t>Other Withdrawals - Mobile Banking Payment To Credit Card *************9563</t>
        </is>
      </c>
      <c r="C116" t="n">
        <v>143.24</v>
      </c>
      <c r="D116" t="inlineStr">
        <is>
          <t>Debit</t>
        </is>
      </c>
    </row>
    <row r="117">
      <c r="A117" s="5" t="n">
        <v>45721</v>
      </c>
      <c r="B117" t="inlineStr">
        <is>
          <t>Other Withdrawals - Electronic Withdrawal To CEFCU TEL DEBIT</t>
        </is>
      </c>
      <c r="C117" t="n">
        <v>1042.46</v>
      </c>
      <c r="D117" t="inlineStr">
        <is>
          <t>Debit</t>
        </is>
      </c>
    </row>
    <row r="118">
      <c r="A118" s="5" t="n">
        <v>45721</v>
      </c>
      <c r="B118" t="inlineStr">
        <is>
          <t>Other Withdrawals - Electronic Withdrawal To DISCOVER</t>
        </is>
      </c>
      <c r="C118" t="n">
        <v>2000</v>
      </c>
      <c r="D118" t="inlineStr">
        <is>
          <t>Debit</t>
        </is>
      </c>
    </row>
    <row r="119">
      <c r="A119" s="5" t="n">
        <v>45721</v>
      </c>
      <c r="B119" t="inlineStr">
        <is>
          <t>Other Withdrawals - Electronic Withdrawal To MERCURY CARD FBT</t>
        </is>
      </c>
      <c r="C119" t="n">
        <v>1029.15</v>
      </c>
      <c r="D119" t="inlineStr">
        <is>
          <t>Debit</t>
        </is>
      </c>
    </row>
    <row r="120">
      <c r="A120" s="5" t="n">
        <v>45722</v>
      </c>
      <c r="B120" t="inlineStr">
        <is>
          <t>Card Withdrawals - Debit Purchase - VISA On 030425 800-453-7638 TX 4104470908</t>
        </is>
      </c>
      <c r="C120" t="n">
        <v>132</v>
      </c>
      <c r="D120" t="inlineStr">
        <is>
          <t>Debit</t>
        </is>
      </c>
    </row>
    <row r="121">
      <c r="A121" s="5" t="n">
        <v>45722</v>
      </c>
      <c r="B121" t="inlineStr">
        <is>
          <t>Other Withdrawals - Deposited Item Returned 1000102136</t>
        </is>
      </c>
      <c r="C121" t="n">
        <v>4050.09</v>
      </c>
      <c r="D121" t="inlineStr">
        <is>
          <t>Debit</t>
        </is>
      </c>
    </row>
    <row r="122">
      <c r="A122" s="5" t="n">
        <v>45723</v>
      </c>
      <c r="B122" t="inlineStr">
        <is>
          <t>Other Withdrawals - Mobile Banking Transfer To Account 152316874980</t>
        </is>
      </c>
      <c r="C122" t="n">
        <v>135</v>
      </c>
      <c r="D122" t="inlineStr">
        <is>
          <t>Debit</t>
        </is>
      </c>
    </row>
    <row r="123">
      <c r="A123" s="5" t="n">
        <v>45723</v>
      </c>
      <c r="B123" t="inlineStr">
        <is>
          <t>Other Withdrawals - Zelle Instant PMT To Casey Williamson</t>
        </is>
      </c>
      <c r="C123" t="n">
        <v>600</v>
      </c>
      <c r="D123" t="inlineStr">
        <is>
          <t>Debit</t>
        </is>
      </c>
    </row>
    <row r="124">
      <c r="A124" s="5" t="n">
        <v>45726</v>
      </c>
      <c r="B124" t="inlineStr">
        <is>
          <t>Card Withdrawals - Debit Purchase MOTOMART #3151 1 SHILOH IL</t>
        </is>
      </c>
      <c r="C124" t="n">
        <v>82.23</v>
      </c>
      <c r="D124" t="inlineStr">
        <is>
          <t>Debit</t>
        </is>
      </c>
    </row>
    <row r="125">
      <c r="A125" s="5" t="n">
        <v>45729</v>
      </c>
      <c r="B125" t="inlineStr">
        <is>
          <t>Card Withdrawals - Debit Purchase - VISA On 031225 888-5741301 SD 1000152197</t>
        </is>
      </c>
      <c r="C125" t="n">
        <v>330</v>
      </c>
      <c r="D125" t="inlineStr">
        <is>
          <t>Debit</t>
        </is>
      </c>
    </row>
    <row r="126">
      <c r="A126" s="5" t="n">
        <v>45730</v>
      </c>
      <c r="B126" t="inlineStr">
        <is>
          <t>Other Withdrawals - Analysis Service Charge 1400000000</t>
        </is>
      </c>
      <c r="C126" t="n">
        <v>16</v>
      </c>
      <c r="D126" t="inlineStr">
        <is>
          <t>Debit</t>
        </is>
      </c>
    </row>
    <row r="127">
      <c r="A127" s="5" t="n">
        <v>45730</v>
      </c>
      <c r="B127" t="inlineStr">
        <is>
          <t>Other Withdrawals - Zelle Instant PMT To Brian Davis</t>
        </is>
      </c>
      <c r="C127" t="n">
        <v>893</v>
      </c>
      <c r="D127" t="inlineStr">
        <is>
          <t>Debit</t>
        </is>
      </c>
    </row>
    <row r="128">
      <c r="A128" s="5" t="n">
        <v>45730</v>
      </c>
      <c r="B128" t="inlineStr">
        <is>
          <t>Other Withdrawals - Zelle Instant PMT To Casey Williamson</t>
        </is>
      </c>
      <c r="C128" t="n">
        <v>800</v>
      </c>
      <c r="D128" t="inlineStr">
        <is>
          <t>Debit</t>
        </is>
      </c>
    </row>
    <row r="129">
      <c r="A129" s="5" t="n">
        <v>45730</v>
      </c>
      <c r="B129" t="inlineStr">
        <is>
          <t>Other Withdrawals - Zelle Instant PMT To Nadia Session</t>
        </is>
      </c>
      <c r="C129" t="n">
        <v>100</v>
      </c>
      <c r="D129" t="inlineStr">
        <is>
          <t>Debit</t>
        </is>
      </c>
    </row>
    <row r="130">
      <c r="A130" s="5" t="n">
        <v>45733</v>
      </c>
      <c r="B130" t="inlineStr">
        <is>
          <t>Card Withdrawals - Debit Purchase - VISA On 031425 4029357733 CA 5510276275</t>
        </is>
      </c>
      <c r="C130" t="n">
        <v>509</v>
      </c>
      <c r="D130" t="inlineStr">
        <is>
          <t>Debit</t>
        </is>
      </c>
    </row>
    <row r="131">
      <c r="A131" s="5" t="n">
        <v>45733</v>
      </c>
      <c r="B131" t="inlineStr">
        <is>
          <t>Card Withdrawals - Debit Purchase - VISA On 031425 Visa Direct NY 3000232828</t>
        </is>
      </c>
      <c r="C131" t="n">
        <v>200</v>
      </c>
      <c r="D131" t="inlineStr">
        <is>
          <t>Debit</t>
        </is>
      </c>
    </row>
    <row r="132">
      <c r="A132" s="5" t="n">
        <v>45733</v>
      </c>
      <c r="B132" t="inlineStr">
        <is>
          <t>Other Withdrawals - Electronic Withdrawal To CATHOLIC CCU</t>
        </is>
      </c>
      <c r="C132" t="n">
        <v>572.5</v>
      </c>
      <c r="D132" t="inlineStr">
        <is>
          <t>Debit</t>
        </is>
      </c>
    </row>
    <row r="133">
      <c r="A133" s="5" t="n">
        <v>45733</v>
      </c>
      <c r="B133" t="inlineStr">
        <is>
          <t>Other Withdrawals - Electronic Withdrawal To DISCOVER</t>
        </is>
      </c>
      <c r="C133" t="n">
        <v>2000</v>
      </c>
      <c r="D133" t="inlineStr">
        <is>
          <t>Debit</t>
        </is>
      </c>
    </row>
    <row r="134">
      <c r="A134" s="5" t="n">
        <v>45733</v>
      </c>
      <c r="B134" t="inlineStr">
        <is>
          <t>Other Withdrawals - Electronic Withdrawal To MERCURY CARD FBT</t>
        </is>
      </c>
      <c r="C134" t="n">
        <v>1379.42</v>
      </c>
      <c r="D134" t="inlineStr">
        <is>
          <t>Debit</t>
        </is>
      </c>
    </row>
    <row r="135">
      <c r="A135" s="5" t="n">
        <v>45734</v>
      </c>
      <c r="B135" t="inlineStr">
        <is>
          <t>Other Withdrawals - Electronic Withdrawal To MIDLAND MTG</t>
        </is>
      </c>
      <c r="C135" t="n">
        <v>989.5599999999999</v>
      </c>
      <c r="D135" t="inlineStr">
        <is>
          <t>Debit</t>
        </is>
      </c>
    </row>
    <row r="136">
      <c r="A136" s="5" t="n">
        <v>45735</v>
      </c>
      <c r="B136" t="inlineStr">
        <is>
          <t>Other Withdrawals - Mobile Banking Payment To Credit Card *************3424</t>
        </is>
      </c>
      <c r="C136" t="n">
        <v>1140.51</v>
      </c>
      <c r="D136" t="inlineStr">
        <is>
          <t>Debit</t>
        </is>
      </c>
    </row>
    <row r="137">
      <c r="A137" s="5" t="n">
        <v>45736</v>
      </c>
      <c r="B137" t="inlineStr">
        <is>
          <t>Card Withdrawals - Debit Purchase - VISA On 031925 Freeburg IL 8103396533</t>
        </is>
      </c>
      <c r="C137" t="n">
        <v>4.52</v>
      </c>
      <c r="D137" t="inlineStr">
        <is>
          <t>Debit</t>
        </is>
      </c>
    </row>
    <row r="138">
      <c r="A138" s="5" t="n">
        <v>45736</v>
      </c>
      <c r="B138" t="inlineStr">
        <is>
          <t>Other Withdrawals - Electronic Withdrawal To DISCOVER</t>
        </is>
      </c>
      <c r="C138" t="n">
        <v>2000</v>
      </c>
      <c r="D138" t="inlineStr">
        <is>
          <t>Debit</t>
        </is>
      </c>
    </row>
    <row r="139">
      <c r="A139" s="5" t="n">
        <v>45737</v>
      </c>
      <c r="B139" t="inlineStr">
        <is>
          <t>Other Withdrawals - Zelle Instant PMT To Casey Williamson</t>
        </is>
      </c>
      <c r="C139" t="n">
        <v>675</v>
      </c>
      <c r="D139" t="inlineStr">
        <is>
          <t>Debit</t>
        </is>
      </c>
    </row>
    <row r="140">
      <c r="A140" s="5" t="n">
        <v>45741</v>
      </c>
      <c r="B140" t="inlineStr">
        <is>
          <t>Other Withdrawals - Customer Withdrawal 8314494754</t>
        </is>
      </c>
      <c r="C140" t="n">
        <v>600</v>
      </c>
      <c r="D140" t="inlineStr">
        <is>
          <t>Debit</t>
        </is>
      </c>
    </row>
    <row r="141">
      <c r="A141" s="5" t="n">
        <v>45742</v>
      </c>
      <c r="B141" t="inlineStr">
        <is>
          <t>Card Withdrawals - Recurring Debit Purchase On 032525 888-270-2644 IN 5109006614</t>
        </is>
      </c>
      <c r="C141" t="n">
        <v>817.5</v>
      </c>
      <c r="D141" t="inlineStr">
        <is>
          <t>Debit</t>
        </is>
      </c>
    </row>
    <row r="142">
      <c r="A142" s="5" t="n">
        <v>45744</v>
      </c>
      <c r="B142" t="inlineStr">
        <is>
          <t>Other Withdrawals - Mobile Banking Transfer To Account 152316875235</t>
        </is>
      </c>
      <c r="C142" t="n">
        <v>300</v>
      </c>
      <c r="D142" t="inlineStr">
        <is>
          <t>Debit</t>
        </is>
      </c>
    </row>
    <row r="143">
      <c r="A143" s="5" t="n">
        <v>45744</v>
      </c>
      <c r="B143" t="inlineStr">
        <is>
          <t>Other Withdrawals - Zelle Instant PMT To Brian Davis</t>
        </is>
      </c>
      <c r="C143" t="n">
        <v>100</v>
      </c>
      <c r="D143" t="inlineStr">
        <is>
          <t>Debit</t>
        </is>
      </c>
    </row>
    <row r="144">
      <c r="A144" s="5" t="n">
        <v>45744</v>
      </c>
      <c r="B144" t="inlineStr">
        <is>
          <t>Other Withdrawals - Zelle Instant PMT To Brian Davis</t>
        </is>
      </c>
      <c r="C144" t="n">
        <v>440</v>
      </c>
      <c r="D144" t="inlineStr">
        <is>
          <t>Debit</t>
        </is>
      </c>
    </row>
    <row r="145">
      <c r="A145" s="5" t="n">
        <v>45744</v>
      </c>
      <c r="B145" t="inlineStr">
        <is>
          <t>Other Withdrawals - Zelle Instant PMT To Casey Williamson</t>
        </is>
      </c>
      <c r="C145" t="n">
        <v>500</v>
      </c>
      <c r="D145" t="inlineStr">
        <is>
          <t>Debit</t>
        </is>
      </c>
    </row>
    <row r="146">
      <c r="A146" s="5" t="n">
        <v>45747</v>
      </c>
      <c r="B146" t="inlineStr">
        <is>
          <t>Card Withdrawals - ATM Withdrawal 313 E WASHINGTON MILLSTADT IL</t>
        </is>
      </c>
      <c r="C146" t="n">
        <v>203.25</v>
      </c>
      <c r="D146" t="inlineStr">
        <is>
          <t>Debit</t>
        </is>
      </c>
    </row>
    <row r="147">
      <c r="A147" s="5" t="n">
        <v>45747</v>
      </c>
      <c r="B147" t="inlineStr">
        <is>
          <t>Card Withdrawals - Debit Purchase - VISA On 032825 4029357733 CA 9512698027</t>
        </is>
      </c>
      <c r="C147" t="n">
        <v>447.92</v>
      </c>
      <c r="D147" t="inlineStr">
        <is>
          <t>Debit</t>
        </is>
      </c>
    </row>
    <row r="148">
      <c r="A148" s="5" t="n">
        <v>45747</v>
      </c>
      <c r="B148" t="inlineStr">
        <is>
          <t>Card Withdrawals - Debit Purchase - VISA On 032825 618-2340105 IL 7900011900</t>
        </is>
      </c>
      <c r="C148" t="n">
        <v>469.61</v>
      </c>
      <c r="D148" t="inlineStr">
        <is>
          <t>Debit</t>
        </is>
      </c>
    </row>
    <row r="149">
      <c r="A149" s="5" t="n">
        <v>45747</v>
      </c>
      <c r="B149" t="inlineStr">
        <is>
          <t>Card Withdrawals - Debit Purchase - VISA On 032825 FREEBURG IL 9030040312</t>
        </is>
      </c>
      <c r="C149" t="n">
        <v>45.5</v>
      </c>
      <c r="D149" t="inlineStr">
        <is>
          <t>Debit</t>
        </is>
      </c>
    </row>
    <row r="150">
      <c r="A150" s="5" t="n">
        <v>45747</v>
      </c>
      <c r="B150" t="inlineStr">
        <is>
          <t>Card Withdrawals - Debit Purchase - VISA On 032825 NEW ATHENS IL 7900015982</t>
        </is>
      </c>
      <c r="C150" t="n">
        <v>13.47</v>
      </c>
      <c r="D150" t="inlineStr">
        <is>
          <t>Debit</t>
        </is>
      </c>
    </row>
    <row r="151">
      <c r="A151" s="5" t="n">
        <v>45747</v>
      </c>
      <c r="B151" t="inlineStr">
        <is>
          <t>Card Withdrawals - Fee ATM Withdrawal At Other Network 3100000342 $</t>
        </is>
      </c>
      <c r="C151" t="n">
        <v>2.5</v>
      </c>
      <c r="D151" t="inlineStr">
        <is>
          <t>Debit</t>
        </is>
      </c>
    </row>
    <row r="152">
      <c r="A152" s="5" t="n">
        <v>45747</v>
      </c>
      <c r="B152" t="inlineStr">
        <is>
          <t>Card Withdrawals - Recurring Debit Purchase On 032925 800-956-6310 IL 8177083101</t>
        </is>
      </c>
      <c r="C152" t="n">
        <v>328.77</v>
      </c>
      <c r="D152" t="inlineStr">
        <is>
          <t>Debit</t>
        </is>
      </c>
    </row>
    <row r="153">
      <c r="A153" s="5" t="n">
        <v>45748</v>
      </c>
      <c r="B153" t="inlineStr">
        <is>
          <t>Other Deposits - Mobile Check Deposit 8314527129 $</t>
        </is>
      </c>
      <c r="C153" t="n">
        <v>3860</v>
      </c>
      <c r="D153" t="inlineStr">
        <is>
          <t>Credit</t>
        </is>
      </c>
    </row>
    <row r="154">
      <c r="A154" s="5" t="n">
        <v>45749</v>
      </c>
      <c r="B154" t="inlineStr">
        <is>
          <t>Card Withdrawals - Debit Purchase - VISA On 033125 BELLEVILLE IL 1104712008 $</t>
        </is>
      </c>
      <c r="C154" t="n">
        <v>22.97</v>
      </c>
      <c r="D154" t="inlineStr">
        <is>
          <t>Debit</t>
        </is>
      </c>
    </row>
    <row r="155">
      <c r="A155" s="5" t="n">
        <v>45750</v>
      </c>
      <c r="B155" t="inlineStr">
        <is>
          <t>Other Withdrawals - Electronic Withdrawal To MERCURY CARD FBT $</t>
        </is>
      </c>
      <c r="C155" t="n">
        <v>600</v>
      </c>
      <c r="D155" t="inlineStr">
        <is>
          <t>Debit</t>
        </is>
      </c>
    </row>
    <row r="156">
      <c r="A156" s="5" t="n">
        <v>45751</v>
      </c>
      <c r="B156" t="inlineStr">
        <is>
          <t>Card Withdrawals - ATM Withdrawal 10 S BELT W BELLEVILLE IL</t>
        </is>
      </c>
      <c r="C156" t="n">
        <v>103.95</v>
      </c>
      <c r="D156" t="inlineStr">
        <is>
          <t>Debit</t>
        </is>
      </c>
    </row>
    <row r="157">
      <c r="A157" s="5" t="n">
        <v>45751</v>
      </c>
      <c r="B157" t="inlineStr">
        <is>
          <t>Card Withdrawals - Fee ATM Withdrawal At Other Network 0400000877 $</t>
        </is>
      </c>
      <c r="C157" t="n">
        <v>2.5</v>
      </c>
      <c r="D157" t="inlineStr">
        <is>
          <t>Debit</t>
        </is>
      </c>
    </row>
    <row r="158">
      <c r="A158" s="5" t="n">
        <v>45751</v>
      </c>
      <c r="B158" t="inlineStr">
        <is>
          <t>Other Deposits - Mobile Check Deposit 9213972504</t>
        </is>
      </c>
      <c r="C158" t="n">
        <v>500</v>
      </c>
      <c r="D158" t="inlineStr">
        <is>
          <t>Credit</t>
        </is>
      </c>
    </row>
    <row r="159">
      <c r="A159" s="5" t="n">
        <v>45751</v>
      </c>
      <c r="B159" t="inlineStr">
        <is>
          <t>Other Withdrawals - Electronic Withdrawal To CEFCU TEL DEBIT</t>
        </is>
      </c>
      <c r="C159" t="n">
        <v>1042.46</v>
      </c>
      <c r="D159" t="inlineStr">
        <is>
          <t>Debit</t>
        </is>
      </c>
    </row>
    <row r="160">
      <c r="A160" s="5" t="n">
        <v>45751</v>
      </c>
      <c r="B160" t="inlineStr">
        <is>
          <t>Other Withdrawals - Mobile Banking Transfer To Account 152316875235</t>
        </is>
      </c>
      <c r="C160" t="n">
        <v>1500</v>
      </c>
      <c r="D160" t="inlineStr">
        <is>
          <t>Debit</t>
        </is>
      </c>
    </row>
    <row r="161">
      <c r="A161" s="5" t="n">
        <v>45751</v>
      </c>
      <c r="B161" t="inlineStr">
        <is>
          <t>Other Withdrawals - Zelle Instant PMT To Casey Williamson</t>
        </is>
      </c>
      <c r="C161" t="n">
        <v>500</v>
      </c>
      <c r="D161" t="inlineStr">
        <is>
          <t>Debit</t>
        </is>
      </c>
    </row>
    <row r="162">
      <c r="A162" s="5" t="n">
        <v>45751</v>
      </c>
      <c r="B162" t="inlineStr">
        <is>
          <t>Other Withdrawals - Zelle Instant PMT To Nadia Session</t>
        </is>
      </c>
      <c r="C162" t="n">
        <v>100</v>
      </c>
      <c r="D162" t="inlineStr">
        <is>
          <t>Debit</t>
        </is>
      </c>
    </row>
    <row r="163">
      <c r="A163" s="5" t="n">
        <v>45754</v>
      </c>
      <c r="B163" t="inlineStr">
        <is>
          <t>Card Withdrawals - Debit Purchase - VISA On 040425 4029357733 CA 6513928598</t>
        </is>
      </c>
      <c r="C163" t="n">
        <v>82.48999999999999</v>
      </c>
      <c r="D163" t="inlineStr">
        <is>
          <t>Debit</t>
        </is>
      </c>
    </row>
    <row r="164">
      <c r="A164" s="5" t="n">
        <v>45754</v>
      </c>
      <c r="B164" t="inlineStr">
        <is>
          <t>Card Withdrawals - Debit Purchase MOTOMART COLLINSVILLEIL</t>
        </is>
      </c>
      <c r="C164" t="n">
        <v>98.65000000000001</v>
      </c>
      <c r="D164" t="inlineStr">
        <is>
          <t>Debit</t>
        </is>
      </c>
    </row>
    <row r="165">
      <c r="A165" s="5" t="n">
        <v>45754</v>
      </c>
      <c r="B165" t="inlineStr">
        <is>
          <t>Other Withdrawals - Mobile Banking Transfer To Account 152316874980</t>
        </is>
      </c>
      <c r="C165" t="n">
        <v>114</v>
      </c>
      <c r="D165" t="inlineStr">
        <is>
          <t>Debit</t>
        </is>
      </c>
    </row>
    <row r="166">
      <c r="A166" s="5" t="n">
        <v>45755</v>
      </c>
      <c r="B166" t="inlineStr">
        <is>
          <t>Other Deposits - Mobile Banking Transfer From Account 152316874980</t>
        </is>
      </c>
      <c r="C166" t="n">
        <v>4300</v>
      </c>
      <c r="D166" t="inlineStr">
        <is>
          <t>Credit</t>
        </is>
      </c>
    </row>
    <row r="167">
      <c r="A167" s="5" t="n">
        <v>45755</v>
      </c>
      <c r="B167" t="inlineStr">
        <is>
          <t>Other Withdrawals - Mobile Banking Payment To Credit Card *************3424</t>
        </is>
      </c>
      <c r="C167" t="n">
        <v>1013.78</v>
      </c>
      <c r="D167" t="inlineStr">
        <is>
          <t>Debit</t>
        </is>
      </c>
    </row>
    <row r="168">
      <c r="A168" s="5" t="n">
        <v>45756</v>
      </c>
      <c r="B168" t="inlineStr">
        <is>
          <t>Card Withdrawals - Debit Purchase WAL-MART #0201 BELLEVILLE IL</t>
        </is>
      </c>
      <c r="C168" t="n">
        <v>96.01000000000001</v>
      </c>
      <c r="D168" t="inlineStr">
        <is>
          <t>Debit</t>
        </is>
      </c>
    </row>
    <row r="169">
      <c r="A169" s="5" t="n">
        <v>45756</v>
      </c>
      <c r="B169" t="inlineStr">
        <is>
          <t>Other Withdrawals - Electronic Withdrawal To DISCOVER</t>
        </is>
      </c>
      <c r="C169" t="n">
        <v>2500</v>
      </c>
      <c r="D169" t="inlineStr">
        <is>
          <t>Debit</t>
        </is>
      </c>
    </row>
    <row r="170">
      <c r="A170" s="5" t="n">
        <v>45756</v>
      </c>
      <c r="B170" t="inlineStr">
        <is>
          <t>Other Withdrawals - Mobile Banking Transfer To Account 152316875235</t>
        </is>
      </c>
      <c r="C170" t="n">
        <v>500</v>
      </c>
      <c r="D170" t="inlineStr">
        <is>
          <t>Debit</t>
        </is>
      </c>
    </row>
    <row r="171">
      <c r="A171" s="5" t="n">
        <v>45756</v>
      </c>
      <c r="B171" t="inlineStr">
        <is>
          <t>Other Withdrawals - Zelle Instant PMT To Nadia Session</t>
        </is>
      </c>
      <c r="C171" t="n">
        <v>243</v>
      </c>
      <c r="D171" t="inlineStr">
        <is>
          <t>Debit</t>
        </is>
      </c>
    </row>
    <row r="172">
      <c r="A172" s="5" t="n">
        <v>45757</v>
      </c>
      <c r="B172" t="inlineStr">
        <is>
          <t>Card Withdrawals - ATM Withdrawal 800 N STATE ST FREEBURG IL</t>
        </is>
      </c>
      <c r="C172" t="n">
        <v>303.25</v>
      </c>
      <c r="D172" t="inlineStr">
        <is>
          <t>Debit</t>
        </is>
      </c>
    </row>
    <row r="173">
      <c r="A173" s="5" t="n">
        <v>45757</v>
      </c>
      <c r="B173" t="inlineStr">
        <is>
          <t>Card Withdrawals - Fee ATM Withdrawal At Other Network 1000000482</t>
        </is>
      </c>
      <c r="C173" t="n">
        <v>2.5</v>
      </c>
      <c r="D173" t="inlineStr">
        <is>
          <t>Debit</t>
        </is>
      </c>
    </row>
    <row r="174">
      <c r="A174" s="5" t="n">
        <v>45758</v>
      </c>
      <c r="B174" t="inlineStr">
        <is>
          <t>Card Withdrawals - Debit Purchase - VISA On 041025 SAINTPAUL MN 1302148475</t>
        </is>
      </c>
      <c r="C174" t="n">
        <v>1.75</v>
      </c>
      <c r="D174" t="inlineStr">
        <is>
          <t>Debit</t>
        </is>
      </c>
    </row>
    <row r="175">
      <c r="A175" s="5" t="n">
        <v>45758</v>
      </c>
      <c r="B175" t="inlineStr">
        <is>
          <t>Other Withdrawals - Mobile Banking Transfer To Account 152316875235</t>
        </is>
      </c>
      <c r="C175" t="n">
        <v>1200</v>
      </c>
      <c r="D175" t="inlineStr">
        <is>
          <t>Debit</t>
        </is>
      </c>
    </row>
    <row r="176">
      <c r="A176" s="5" t="n">
        <v>45758</v>
      </c>
      <c r="B176" t="inlineStr">
        <is>
          <t>Other Withdrawals - Zelle Instant PMT To Brian Davis</t>
        </is>
      </c>
      <c r="C176" t="n">
        <v>630</v>
      </c>
      <c r="D176" t="inlineStr">
        <is>
          <t>Debit</t>
        </is>
      </c>
    </row>
    <row r="177">
      <c r="A177" s="5" t="n">
        <v>45758</v>
      </c>
      <c r="B177" t="inlineStr">
        <is>
          <t>Other Withdrawals - Zelle Instant PMT To Casey Williamson</t>
        </is>
      </c>
      <c r="C177" t="n">
        <v>800</v>
      </c>
      <c r="D177" t="inlineStr">
        <is>
          <t>Debit</t>
        </is>
      </c>
    </row>
    <row r="178">
      <c r="A178" s="5" t="n">
        <v>45758</v>
      </c>
      <c r="B178" t="inlineStr">
        <is>
          <t>Other Withdrawals - Zelle Instant PMT To Tabitha Session</t>
        </is>
      </c>
      <c r="C178" t="n">
        <v>182</v>
      </c>
      <c r="D178" t="inlineStr">
        <is>
          <t>Debit</t>
        </is>
      </c>
    </row>
    <row r="179">
      <c r="A179" s="5" t="n">
        <v>45761</v>
      </c>
      <c r="B179" t="inlineStr">
        <is>
          <t>Card Withdrawals - ATM Withdrawal 1324 N ILLINOIS SWANSEA IL</t>
        </is>
      </c>
      <c r="C179" t="n">
        <v>202</v>
      </c>
      <c r="D179" t="inlineStr">
        <is>
          <t>Debit</t>
        </is>
      </c>
    </row>
    <row r="180">
      <c r="A180" s="5" t="n">
        <v>45761</v>
      </c>
      <c r="B180" t="inlineStr">
        <is>
          <t>Card Withdrawals - Debit Purchase - VISA On 041125 4029357733 CA 3514134235</t>
        </is>
      </c>
      <c r="C180" t="n">
        <v>641.34</v>
      </c>
      <c r="D180" t="inlineStr">
        <is>
          <t>Debit</t>
        </is>
      </c>
    </row>
    <row r="181">
      <c r="A181" s="5" t="n">
        <v>45761</v>
      </c>
      <c r="B181" t="inlineStr">
        <is>
          <t>Card Withdrawals - Debit Purchase MOTOMART FREEBURG IL</t>
        </is>
      </c>
      <c r="C181" t="n">
        <v>99.58</v>
      </c>
      <c r="D181" t="inlineStr">
        <is>
          <t>Debit</t>
        </is>
      </c>
    </row>
    <row r="182">
      <c r="A182" s="5" t="n">
        <v>45761</v>
      </c>
      <c r="B182" t="inlineStr">
        <is>
          <t>Card Withdrawals - Fee ATM Withdrawal At Other Network 1400000253</t>
        </is>
      </c>
      <c r="C182" t="n">
        <v>2.5</v>
      </c>
      <c r="D182" t="inlineStr">
        <is>
          <t>Debit</t>
        </is>
      </c>
    </row>
    <row r="183">
      <c r="A183" s="5" t="n">
        <v>45761</v>
      </c>
      <c r="B183" t="inlineStr">
        <is>
          <t>Other Withdrawals - Analysis Service Charge 1400000000</t>
        </is>
      </c>
      <c r="C183" t="n">
        <v>16</v>
      </c>
      <c r="D183" t="inlineStr">
        <is>
          <t>Debit</t>
        </is>
      </c>
    </row>
    <row r="184">
      <c r="A184" s="5" t="n">
        <v>45762</v>
      </c>
      <c r="B184" t="inlineStr">
        <is>
          <t>Card Withdrawals - ATM Withdrawal 15 LUDWIG DR FAIRVIEW HEI IL</t>
        </is>
      </c>
      <c r="C184" t="n">
        <v>188</v>
      </c>
      <c r="D184" t="inlineStr">
        <is>
          <t>Debit</t>
        </is>
      </c>
    </row>
    <row r="185">
      <c r="A185" s="5" t="n">
        <v>45762</v>
      </c>
      <c r="B185" t="inlineStr">
        <is>
          <t>Card Withdrawals - Fee ATM Withdrawal At Other Network 1500000088</t>
        </is>
      </c>
      <c r="C185" t="n">
        <v>2.5</v>
      </c>
      <c r="D185" t="inlineStr">
        <is>
          <t>Debit</t>
        </is>
      </c>
    </row>
    <row r="186">
      <c r="A186" s="5" t="n">
        <v>45762</v>
      </c>
      <c r="B186" t="inlineStr">
        <is>
          <t>Other Withdrawals - Electronic Withdrawal To MERCURY CARD FBT</t>
        </is>
      </c>
      <c r="C186" t="n">
        <v>754.53</v>
      </c>
      <c r="D186" t="inlineStr">
        <is>
          <t>Debit</t>
        </is>
      </c>
    </row>
    <row r="187">
      <c r="A187" s="5" t="n">
        <v>45762</v>
      </c>
      <c r="B187" t="inlineStr">
        <is>
          <t>Other Withdrawals - Electronic Withdrawal To MISSION LANE</t>
        </is>
      </c>
      <c r="C187" t="n">
        <v>500</v>
      </c>
      <c r="D187" t="inlineStr">
        <is>
          <t>Debit</t>
        </is>
      </c>
    </row>
    <row r="188">
      <c r="A188" s="5" t="n">
        <v>45763</v>
      </c>
      <c r="B188" t="inlineStr">
        <is>
          <t>Card Withdrawals - Debit Purchase SAMSCLUB #4878 GLEN CARBON IL</t>
        </is>
      </c>
      <c r="C188" t="n">
        <v>71.39</v>
      </c>
      <c r="D188" t="inlineStr">
        <is>
          <t>Debit</t>
        </is>
      </c>
    </row>
    <row r="189">
      <c r="A189" s="5" t="n">
        <v>45763</v>
      </c>
      <c r="B189" t="inlineStr">
        <is>
          <t>Other Deposits - Mobile Check Deposit 8614035980</t>
        </is>
      </c>
      <c r="C189" t="n">
        <v>5000</v>
      </c>
      <c r="D189" t="inlineStr">
        <is>
          <t>Credit</t>
        </is>
      </c>
    </row>
    <row r="190">
      <c r="A190" s="5" t="n">
        <v>45763</v>
      </c>
      <c r="B190" t="inlineStr">
        <is>
          <t>Other Withdrawals - Electronic Withdrawal To CATHOLIC CCU</t>
        </is>
      </c>
      <c r="C190" t="n">
        <v>572.5</v>
      </c>
      <c r="D190" t="inlineStr">
        <is>
          <t>Debit</t>
        </is>
      </c>
    </row>
    <row r="191">
      <c r="A191" s="5" t="n">
        <v>45763</v>
      </c>
      <c r="B191" t="inlineStr">
        <is>
          <t>Other Withdrawals - Electronic Withdrawal To MIDLAND MTG</t>
        </is>
      </c>
      <c r="C191" t="n">
        <v>1164.56</v>
      </c>
      <c r="D191" t="inlineStr">
        <is>
          <t>Debit</t>
        </is>
      </c>
    </row>
    <row r="192">
      <c r="A192" s="5" t="n">
        <v>45764</v>
      </c>
      <c r="B192" t="inlineStr">
        <is>
          <t>Card Withdrawals - Debit Purchase - VISA On 041525 FAIRVIEW HTS IL 6188255182</t>
        </is>
      </c>
      <c r="C192" t="n">
        <v>121.68</v>
      </c>
      <c r="D192" t="inlineStr">
        <is>
          <t>Debit</t>
        </is>
      </c>
    </row>
    <row r="193">
      <c r="A193" s="5" t="n">
        <v>45765</v>
      </c>
      <c r="B193" t="inlineStr">
        <is>
          <t>Card Withdrawals - Debit Purchase CIRCLE K # 01345 CASEYVILLE IL</t>
        </is>
      </c>
      <c r="C193" t="n">
        <v>18.23</v>
      </c>
      <c r="D193" t="inlineStr">
        <is>
          <t>Debit</t>
        </is>
      </c>
    </row>
    <row r="194">
      <c r="A194" s="5" t="n">
        <v>45765</v>
      </c>
      <c r="B194" t="inlineStr">
        <is>
          <t>Other Deposits - Branch Account Transfer From Account 152316875235</t>
        </is>
      </c>
      <c r="C194" t="n">
        <v>1500</v>
      </c>
      <c r="D194" t="inlineStr">
        <is>
          <t>Credit</t>
        </is>
      </c>
    </row>
    <row r="195">
      <c r="A195" s="5" t="n">
        <v>45765</v>
      </c>
      <c r="B195" t="inlineStr">
        <is>
          <t>Other Withdrawals - Customer Withdrawal 9213096586</t>
        </is>
      </c>
      <c r="C195" t="n">
        <v>6000</v>
      </c>
      <c r="D195" t="inlineStr">
        <is>
          <t>Debit</t>
        </is>
      </c>
    </row>
    <row r="196">
      <c r="A196" s="5" t="n">
        <v>45765</v>
      </c>
      <c r="B196" t="inlineStr">
        <is>
          <t>Other Withdrawals - Mobile Banking Transfer To Account 152316875235</t>
        </is>
      </c>
      <c r="C196" t="n">
        <v>2000</v>
      </c>
      <c r="D196" t="inlineStr">
        <is>
          <t>Debit</t>
        </is>
      </c>
    </row>
    <row r="197">
      <c r="A197" s="5" t="n">
        <v>45765</v>
      </c>
      <c r="B197" t="inlineStr">
        <is>
          <t>Other Withdrawals - Zelle Instant PMT To Brian Davis</t>
        </is>
      </c>
      <c r="C197" t="n">
        <v>720</v>
      </c>
      <c r="D197" t="inlineStr">
        <is>
          <t>Debit</t>
        </is>
      </c>
    </row>
    <row r="198">
      <c r="A198" s="5" t="n">
        <v>45765</v>
      </c>
      <c r="B198" t="inlineStr">
        <is>
          <t>Other Withdrawals - Zelle Instant PMT To Casey Williamson</t>
        </is>
      </c>
      <c r="C198" t="n">
        <v>800</v>
      </c>
      <c r="D198" t="inlineStr">
        <is>
          <t>Debit</t>
        </is>
      </c>
    </row>
    <row r="199">
      <c r="A199" s="5" t="n">
        <v>45768</v>
      </c>
      <c r="B199" t="inlineStr">
        <is>
          <t>Card Withdrawals - Debit Purchase - VISA On 041825 4029357733 CA 0515349189</t>
        </is>
      </c>
      <c r="C199" t="n">
        <v>407.2</v>
      </c>
      <c r="D199" t="inlineStr">
        <is>
          <t>Debit</t>
        </is>
      </c>
    </row>
    <row r="200">
      <c r="A200" s="5" t="n">
        <v>45768</v>
      </c>
      <c r="B200" t="inlineStr">
        <is>
          <t>Card Withdrawals - Debit Purchase - VISA On 041825 FAIRVIEW HEI IL 0570012093</t>
        </is>
      </c>
      <c r="C200" t="n">
        <v>87.26000000000001</v>
      </c>
      <c r="D200" t="inlineStr">
        <is>
          <t>Debit</t>
        </is>
      </c>
    </row>
    <row r="201">
      <c r="A201" s="5" t="n">
        <v>45768</v>
      </c>
      <c r="B201" t="inlineStr">
        <is>
          <t>Card Withdrawals - Debit Purchase - VISA On 041925 888-5741301 SD 0000021943</t>
        </is>
      </c>
      <c r="C201" t="n">
        <v>114</v>
      </c>
      <c r="D201" t="inlineStr">
        <is>
          <t>Debit</t>
        </is>
      </c>
    </row>
    <row r="202">
      <c r="A202" s="5" t="n">
        <v>45768</v>
      </c>
      <c r="B202" t="inlineStr">
        <is>
          <t>Card Withdrawals - Debit Purchase - VISA On 041925 CARTERVILLE IL 0101810139</t>
        </is>
      </c>
      <c r="C202" t="n">
        <v>94.89</v>
      </c>
      <c r="D202" t="inlineStr">
        <is>
          <t>Debit</t>
        </is>
      </c>
    </row>
    <row r="203">
      <c r="A203" s="5" t="n">
        <v>45768</v>
      </c>
      <c r="B203" t="inlineStr">
        <is>
          <t>Card Withdrawals - Debit Purchase - VISA On 041925 FREEBURG IL 9720249452</t>
        </is>
      </c>
      <c r="C203" t="n">
        <v>11.07</v>
      </c>
      <c r="D203" t="inlineStr">
        <is>
          <t>Debit</t>
        </is>
      </c>
    </row>
    <row r="204">
      <c r="A204" s="5" t="n">
        <v>45769</v>
      </c>
      <c r="B204" t="inlineStr">
        <is>
          <t>Other Withdrawals - Customer Withdrawal 8313721537</t>
        </is>
      </c>
      <c r="C204" t="n">
        <v>400</v>
      </c>
      <c r="D204" t="inlineStr">
        <is>
          <t>Debit</t>
        </is>
      </c>
    </row>
    <row r="205">
      <c r="A205" s="5" t="n">
        <v>45771</v>
      </c>
      <c r="B205" t="inlineStr">
        <is>
          <t>Card Withdrawals - Debit Purchase - VISA On 042225 BELLEVILLE IL 3004883792</t>
        </is>
      </c>
      <c r="C205" t="n">
        <v>62.27</v>
      </c>
      <c r="D205" t="inlineStr">
        <is>
          <t>Debit</t>
        </is>
      </c>
    </row>
    <row r="206">
      <c r="A206" s="5" t="n">
        <v>45771</v>
      </c>
      <c r="B206" t="inlineStr">
        <is>
          <t>Card Withdrawals - Debit Purchase - VISA On 042325 618-2869595 IL 3104705157</t>
        </is>
      </c>
      <c r="C206" t="n">
        <v>440</v>
      </c>
      <c r="D206" t="inlineStr">
        <is>
          <t>Debit</t>
        </is>
      </c>
    </row>
    <row r="207">
      <c r="A207" s="5" t="n">
        <v>45772</v>
      </c>
      <c r="B207" t="inlineStr">
        <is>
          <t>Other Withdrawals - Zelle Instant PMT To Brian Davis</t>
        </is>
      </c>
      <c r="C207" t="n">
        <v>860</v>
      </c>
      <c r="D207" t="inlineStr">
        <is>
          <t>Debit</t>
        </is>
      </c>
    </row>
    <row r="208">
      <c r="A208" s="5" t="n">
        <v>45772</v>
      </c>
      <c r="B208" t="inlineStr">
        <is>
          <t>Other Withdrawals - Zelle Instant PMT To Casey Williamson</t>
        </is>
      </c>
      <c r="C208" t="n">
        <v>800</v>
      </c>
      <c r="D208" t="inlineStr">
        <is>
          <t>Debit</t>
        </is>
      </c>
    </row>
    <row r="209">
      <c r="A209" s="5" t="n">
        <v>45775</v>
      </c>
      <c r="B209" t="inlineStr">
        <is>
          <t>Card Withdrawals - Debit Purchase - VISA On 042525 4029357733 CA 5516532499</t>
        </is>
      </c>
      <c r="C209" t="n">
        <v>407.2</v>
      </c>
      <c r="D209" t="inlineStr">
        <is>
          <t>Debit</t>
        </is>
      </c>
    </row>
    <row r="210">
      <c r="A210" s="5" t="n">
        <v>45775</v>
      </c>
      <c r="B210" t="inlineStr">
        <is>
          <t>Card Withdrawals - Recurring Debit Purchase On 042525 888-270-2644 IN 6106643694</t>
        </is>
      </c>
      <c r="C210" t="n">
        <v>817.5</v>
      </c>
      <c r="D210" t="inlineStr">
        <is>
          <t>Debit</t>
        </is>
      </c>
    </row>
    <row r="211">
      <c r="A211" s="5" t="n">
        <v>45777</v>
      </c>
      <c r="B211" t="inlineStr">
        <is>
          <t>Card Withdrawals - Recurring Debit Purchase On 042925 800-956-6310 IL 9196753845</t>
        </is>
      </c>
      <c r="C211" t="n">
        <v>328.77</v>
      </c>
      <c r="D211" t="inlineStr">
        <is>
          <t>Debit</t>
        </is>
      </c>
    </row>
    <row r="212">
      <c r="A212" s="5" t="n">
        <v>45778</v>
      </c>
      <c r="B212" t="inlineStr">
        <is>
          <t>Other Deposits - Mobile Check Deposit 8913054761 $</t>
        </is>
      </c>
      <c r="C212" t="n">
        <v>3440</v>
      </c>
      <c r="D212" t="inlineStr">
        <is>
          <t>Credit</t>
        </is>
      </c>
    </row>
    <row r="213">
      <c r="A213" s="5" t="n">
        <v>45778</v>
      </c>
      <c r="B213" t="inlineStr">
        <is>
          <t>Other Withdrawals - 13,733.00 May12 11,716.79 May21</t>
        </is>
      </c>
      <c r="C213" t="n">
        <v>14439.45</v>
      </c>
      <c r="D213" t="inlineStr">
        <is>
          <t>Credit</t>
        </is>
      </c>
    </row>
    <row r="214">
      <c r="A214" s="5" t="n">
        <v>45779</v>
      </c>
      <c r="B214" t="inlineStr">
        <is>
          <t>Other Withdrawals - 12,133.00 May13 12,366.79 May23</t>
        </is>
      </c>
      <c r="C214" t="n">
        <v>15428.29</v>
      </c>
      <c r="D214" t="inlineStr">
        <is>
          <t>Credit</t>
        </is>
      </c>
    </row>
    <row r="215">
      <c r="A215" s="5" t="n">
        <v>45779</v>
      </c>
      <c r="B215" t="inlineStr">
        <is>
          <t>Other Withdrawals - Mobile Banking Transfer To Account 152316874980 $</t>
        </is>
      </c>
      <c r="C215" t="n">
        <v>250</v>
      </c>
      <c r="D215" t="inlineStr">
        <is>
          <t>Debit</t>
        </is>
      </c>
    </row>
    <row r="216">
      <c r="A216" s="5" t="n">
        <v>45779</v>
      </c>
      <c r="B216" t="inlineStr">
        <is>
          <t>Other Withdrawals - Zelle Instant PMT To Brian Davis</t>
        </is>
      </c>
      <c r="C216" t="n">
        <v>850</v>
      </c>
      <c r="D216" t="inlineStr">
        <is>
          <t>Debit</t>
        </is>
      </c>
    </row>
    <row r="217">
      <c r="A217" s="5" t="n">
        <v>45779</v>
      </c>
      <c r="B217" t="inlineStr">
        <is>
          <t>Other Withdrawals - Zelle Instant PMT To Casey Williamson</t>
        </is>
      </c>
      <c r="C217" t="n">
        <v>500</v>
      </c>
      <c r="D217" t="inlineStr">
        <is>
          <t>Debit</t>
        </is>
      </c>
    </row>
    <row r="218">
      <c r="A218" s="5" t="n">
        <v>45782</v>
      </c>
      <c r="B218" t="inlineStr">
        <is>
          <t>Card Withdrawals - Debit Purchase - VISA On 050225 4029357733 CA 4517758979</t>
        </is>
      </c>
      <c r="C218" t="n">
        <v>202.49</v>
      </c>
      <c r="D218" t="inlineStr">
        <is>
          <t>Debit</t>
        </is>
      </c>
    </row>
    <row r="219">
      <c r="A219" s="5" t="n">
        <v>45782</v>
      </c>
      <c r="B219" t="inlineStr">
        <is>
          <t>Card Withdrawals - Debit Purchase CIRCLE K 01590 1 BELLEVILLE IL $</t>
        </is>
      </c>
      <c r="C219" t="n">
        <v>98.28</v>
      </c>
      <c r="D219" t="inlineStr">
        <is>
          <t>Debit</t>
        </is>
      </c>
    </row>
    <row r="220">
      <c r="A220" s="5" t="n">
        <v>45782</v>
      </c>
      <c r="B220" t="inlineStr">
        <is>
          <t>Other Withdrawals - 11,532.23 May14 12,118.44 May27</t>
        </is>
      </c>
      <c r="C220" t="n">
        <v>13512.24</v>
      </c>
      <c r="D220" t="inlineStr">
        <is>
          <t>Credit</t>
        </is>
      </c>
    </row>
    <row r="221">
      <c r="A221" s="5" t="n">
        <v>45782</v>
      </c>
      <c r="B221" t="inlineStr">
        <is>
          <t>Other Withdrawals - Mobile Banking Transfer To Account 152316875235</t>
        </is>
      </c>
      <c r="C221" t="n">
        <v>300</v>
      </c>
      <c r="D221" t="inlineStr">
        <is>
          <t>Debit</t>
        </is>
      </c>
    </row>
    <row r="222">
      <c r="A222" s="5" t="n">
        <v>45783</v>
      </c>
      <c r="B222" t="inlineStr">
        <is>
          <t>Card Withdrawals - Debit Purchase - VISA On 050525 618-2330513 IL 6001800141</t>
        </is>
      </c>
      <c r="C222" t="n">
        <v>114.85</v>
      </c>
      <c r="D222" t="inlineStr">
        <is>
          <t>Debit</t>
        </is>
      </c>
    </row>
    <row r="223">
      <c r="A223" s="5" t="n">
        <v>45783</v>
      </c>
      <c r="B223" t="inlineStr">
        <is>
          <t>Other Withdrawals - 20,036.31 May15 18,714.45 May28</t>
        </is>
      </c>
      <c r="C223" t="n">
        <v>13013.24</v>
      </c>
      <c r="D223" t="inlineStr">
        <is>
          <t>Credit</t>
        </is>
      </c>
    </row>
    <row r="224">
      <c r="A224" s="5" t="n">
        <v>45783</v>
      </c>
      <c r="B224" t="inlineStr">
        <is>
          <t>Other Withdrawals - Customer Withdrawal 8314809301</t>
        </is>
      </c>
      <c r="C224" t="n">
        <v>850</v>
      </c>
      <c r="D224" t="inlineStr">
        <is>
          <t>Debit</t>
        </is>
      </c>
    </row>
    <row r="225">
      <c r="A225" s="5" t="n">
        <v>45783</v>
      </c>
      <c r="B225" t="inlineStr">
        <is>
          <t>Other Withdrawals - Electronic Withdrawal To CEFCU TEL DEBIT</t>
        </is>
      </c>
      <c r="C225" t="n">
        <v>1042.46</v>
      </c>
      <c r="D225" t="inlineStr">
        <is>
          <t>Debit</t>
        </is>
      </c>
    </row>
    <row r="226">
      <c r="A226" s="5" t="n">
        <v>45784</v>
      </c>
      <c r="B226" t="inlineStr">
        <is>
          <t>Card Withdrawals - Debit Purchase - VISA On 050525 800-288-2020 TX 6103735171</t>
        </is>
      </c>
      <c r="C226" t="n">
        <v>75.98999999999999</v>
      </c>
      <c r="D226" t="inlineStr">
        <is>
          <t>Debit</t>
        </is>
      </c>
    </row>
    <row r="227">
      <c r="A227" s="5" t="n">
        <v>45784</v>
      </c>
      <c r="B227" t="inlineStr">
        <is>
          <t>Other Deposits - Zelle Instant PMT To Nadia Session</t>
        </is>
      </c>
      <c r="C227" t="n">
        <v>243</v>
      </c>
      <c r="D227" t="inlineStr">
        <is>
          <t>Credit</t>
        </is>
      </c>
    </row>
    <row r="228">
      <c r="A228" s="5" t="n">
        <v>45784</v>
      </c>
      <c r="B228" t="inlineStr">
        <is>
          <t>Other Withdrawals - 17,696.32 May16 16,124.89 May29</t>
        </is>
      </c>
      <c r="C228" t="n">
        <v>13001.43</v>
      </c>
      <c r="D228" t="inlineStr">
        <is>
          <t>Credit</t>
        </is>
      </c>
    </row>
    <row r="229">
      <c r="A229" s="5" t="n">
        <v>45784</v>
      </c>
      <c r="B229" t="inlineStr">
        <is>
          <t>Other Withdrawals - Mobile Banking Payment To Credit Card *************3424</t>
        </is>
      </c>
      <c r="C229" t="n">
        <v>2000</v>
      </c>
      <c r="D229" t="inlineStr">
        <is>
          <t>Debit</t>
        </is>
      </c>
    </row>
    <row r="230">
      <c r="A230" s="5" t="n">
        <v>45784</v>
      </c>
      <c r="B230" t="inlineStr">
        <is>
          <t>Other Withdrawals - Mobile Banking Transfer To Account 152316874980</t>
        </is>
      </c>
      <c r="C230" t="n">
        <v>21</v>
      </c>
      <c r="D230" t="inlineStr">
        <is>
          <t>Debit</t>
        </is>
      </c>
    </row>
    <row r="231">
      <c r="A231" s="5" t="n">
        <v>45784</v>
      </c>
      <c r="B231" t="inlineStr">
        <is>
          <t>Other Withdrawals - Zelle Instant PMT To Nadia Session</t>
        </is>
      </c>
      <c r="C231" t="n">
        <v>243</v>
      </c>
      <c r="D231" t="inlineStr">
        <is>
          <t>Debit</t>
        </is>
      </c>
    </row>
    <row r="232">
      <c r="A232" s="5" t="n">
        <v>45785</v>
      </c>
      <c r="B232" t="inlineStr">
        <is>
          <t>Card Withdrawals - Debit Purchase - VISA On 050625 EAST ALTON IL 7104386804</t>
        </is>
      </c>
      <c r="C232" t="n">
        <v>11.64</v>
      </c>
      <c r="D232" t="inlineStr">
        <is>
          <t>Debit</t>
        </is>
      </c>
    </row>
    <row r="233">
      <c r="A233" s="5" t="n">
        <v>45785</v>
      </c>
      <c r="B233" t="inlineStr">
        <is>
          <t>Card Withdrawals - Debit Purchase - VISA On 050625 EAST ALTON IL 7104386805</t>
        </is>
      </c>
      <c r="C233" t="n">
        <v>11.19</v>
      </c>
      <c r="D233" t="inlineStr">
        <is>
          <t>Debit</t>
        </is>
      </c>
    </row>
    <row r="234">
      <c r="A234" s="5" t="n">
        <v>45785</v>
      </c>
      <c r="B234" t="inlineStr">
        <is>
          <t>Card Withdrawals - Debit Purchase - VISA On 050725 FREEBURG IL 7720246863</t>
        </is>
      </c>
      <c r="C234" t="n">
        <v>10.65</v>
      </c>
      <c r="D234" t="inlineStr">
        <is>
          <t>Debit</t>
        </is>
      </c>
    </row>
    <row r="235">
      <c r="A235" s="5" t="n">
        <v>45785</v>
      </c>
      <c r="B235" t="inlineStr">
        <is>
          <t>Other Withdrawals - 13,795.84 May19 15,500.95 May30</t>
        </is>
      </c>
      <c r="C235" t="n">
        <v>11822.43</v>
      </c>
      <c r="D235" t="inlineStr">
        <is>
          <t>Credit</t>
        </is>
      </c>
    </row>
    <row r="236">
      <c r="A236" s="5" t="n">
        <v>45785</v>
      </c>
      <c r="B236" t="inlineStr">
        <is>
          <t>Other Withdrawals - Electronic Withdrawal To DISCOVER</t>
        </is>
      </c>
      <c r="C236" t="n">
        <v>2000</v>
      </c>
      <c r="D236" t="inlineStr">
        <is>
          <t>Debit</t>
        </is>
      </c>
    </row>
    <row r="237">
      <c r="A237" s="5" t="n">
        <v>45785</v>
      </c>
      <c r="B237" t="inlineStr">
        <is>
          <t>Other Withdrawals - Electronic Withdrawal To MERCURY CARD FBT</t>
        </is>
      </c>
      <c r="C237" t="n">
        <v>700</v>
      </c>
      <c r="D237" t="inlineStr">
        <is>
          <t>Debit</t>
        </is>
      </c>
    </row>
    <row r="238">
      <c r="A238" s="5" t="n">
        <v>45785</v>
      </c>
      <c r="B238" t="inlineStr">
        <is>
          <t>Other Withdrawals - Mobile Banking Transfer To Account 152316875235</t>
        </is>
      </c>
      <c r="C238" t="n">
        <v>540</v>
      </c>
      <c r="D238" t="inlineStr">
        <is>
          <t>Debit</t>
        </is>
      </c>
    </row>
    <row r="239">
      <c r="A239" s="5" t="n">
        <v>45785</v>
      </c>
      <c r="B239" t="inlineStr">
        <is>
          <t>Other Withdrawals - Mobile Banking Transfer To Account 152316875235</t>
        </is>
      </c>
      <c r="C239" t="n">
        <v>627</v>
      </c>
      <c r="D239" t="inlineStr">
        <is>
          <t>Debit</t>
        </is>
      </c>
    </row>
    <row r="240">
      <c r="A240" s="5" t="n">
        <v>45786</v>
      </c>
      <c r="B240" t="inlineStr">
        <is>
          <t>Card Withdrawals - Debit Purchase - VISA On 050725 FAIRVIEW HEI IL 8105130238</t>
        </is>
      </c>
      <c r="C240" t="n">
        <v>17.98</v>
      </c>
      <c r="D240" t="inlineStr">
        <is>
          <t>Debit</t>
        </is>
      </c>
    </row>
    <row r="241">
      <c r="A241" s="5" t="n">
        <v>45786</v>
      </c>
      <c r="B241" t="inlineStr">
        <is>
          <t>Card Withdrawals - Debit Purchase DOLLAR-GENERAL # FREEBURG IL 0805091440</t>
        </is>
      </c>
      <c r="C241" t="n">
        <v>85.68000000000001</v>
      </c>
      <c r="D241" t="inlineStr">
        <is>
          <t>Debit</t>
        </is>
      </c>
    </row>
    <row r="242">
      <c r="A242" s="5" t="n">
        <v>45786</v>
      </c>
      <c r="B242" t="inlineStr">
        <is>
          <t>Card Withdrawals - Debit Purchase verifyvend855-55 PROVIDENCE RI 6105091318</t>
        </is>
      </c>
      <c r="C242" t="n">
        <v>275</v>
      </c>
      <c r="D242" t="inlineStr">
        <is>
          <t>Debit</t>
        </is>
      </c>
    </row>
    <row r="243">
      <c r="A243" s="5" t="n">
        <v>45786</v>
      </c>
      <c r="B243" t="inlineStr">
        <is>
          <t>Other Withdrawals - 12,217.18 May20</t>
        </is>
      </c>
      <c r="C243" t="n">
        <v>14579.74</v>
      </c>
      <c r="D243" t="inlineStr">
        <is>
          <t>Credit</t>
        </is>
      </c>
    </row>
    <row r="244">
      <c r="A244" s="5" t="n">
        <v>45786</v>
      </c>
      <c r="B244" t="inlineStr">
        <is>
          <t>Other Withdrawals - Mobile Banking Transfer To Account 152316875235</t>
        </is>
      </c>
      <c r="C244" t="n">
        <v>200</v>
      </c>
      <c r="D244" t="inlineStr">
        <is>
          <t>Debit</t>
        </is>
      </c>
    </row>
    <row r="245">
      <c r="A245" s="5" t="n">
        <v>45786</v>
      </c>
      <c r="B245" t="inlineStr">
        <is>
          <t>Other Withdrawals - Zelle Instant PMT To Brian Davis</t>
        </is>
      </c>
      <c r="C245" t="n">
        <v>800</v>
      </c>
      <c r="D245" t="inlineStr">
        <is>
          <t>Debit</t>
        </is>
      </c>
    </row>
    <row r="246">
      <c r="A246" s="5" t="n">
        <v>45786</v>
      </c>
      <c r="B246" t="inlineStr">
        <is>
          <t>Other Withdrawals - Zelle Instant PMT To Casey Williamson</t>
        </is>
      </c>
      <c r="C246" t="n">
        <v>200</v>
      </c>
      <c r="D246" t="inlineStr">
        <is>
          <t>Debit</t>
        </is>
      </c>
    </row>
    <row r="247">
      <c r="A247" s="5" t="n">
        <v>45810</v>
      </c>
      <c r="B247" t="inlineStr">
        <is>
          <t>Card Withdrawals - Debit Purchase - VISA On 053025 618-2869595 IL 0900017200</t>
        </is>
      </c>
      <c r="C247" t="n">
        <v>454.52</v>
      </c>
      <c r="D247" t="inlineStr">
        <is>
          <t>Debit</t>
        </is>
      </c>
    </row>
    <row r="248">
      <c r="A248" s="5" t="n">
        <v>45810</v>
      </c>
      <c r="B248" t="inlineStr">
        <is>
          <t>Card Withdrawals - Debit Purchase - VISA On 053125 MARISSA IL 2300736012</t>
        </is>
      </c>
      <c r="C248" t="n">
        <v>59.69</v>
      </c>
      <c r="D248" t="inlineStr">
        <is>
          <t>Debit</t>
        </is>
      </c>
    </row>
    <row r="249">
      <c r="A249" s="5" t="n">
        <v>45810</v>
      </c>
      <c r="B249" t="inlineStr">
        <is>
          <t>Card Withdrawals - Debit Purchase CASEYS #1986 943 MARISSA IL 8105311332 $</t>
        </is>
      </c>
      <c r="C249" t="n">
        <v>7.45</v>
      </c>
      <c r="D249" t="inlineStr">
        <is>
          <t>Debit</t>
        </is>
      </c>
    </row>
    <row r="250">
      <c r="A250" s="5" t="n">
        <v>45810</v>
      </c>
      <c r="B250" t="inlineStr">
        <is>
          <t>Other Deposits - Mobile Check Deposit 8013933071 $</t>
        </is>
      </c>
      <c r="C250" t="n">
        <v>3250</v>
      </c>
      <c r="D250" t="inlineStr">
        <is>
          <t>Credit</t>
        </is>
      </c>
    </row>
    <row r="251">
      <c r="A251" s="5" t="n">
        <v>45810</v>
      </c>
      <c r="B251" t="inlineStr">
        <is>
          <t>Other Withdrawals - Zelle Instant PMT To Tabitha Session $</t>
        </is>
      </c>
      <c r="C251" t="n">
        <v>222</v>
      </c>
      <c r="D251" t="inlineStr">
        <is>
          <t>Debit</t>
        </is>
      </c>
    </row>
    <row r="252">
      <c r="A252" s="5" t="n">
        <v>45811</v>
      </c>
      <c r="B252" t="inlineStr">
        <is>
          <t>Card Withdrawals - Debit Purchase - VISA On 060225 Freeburg IL 3107975359</t>
        </is>
      </c>
      <c r="C252" t="n">
        <v>5.16</v>
      </c>
      <c r="D252" t="inlineStr">
        <is>
          <t>Debit</t>
        </is>
      </c>
    </row>
    <row r="253">
      <c r="A253" s="5" t="n">
        <v>45811</v>
      </c>
      <c r="B253" t="inlineStr">
        <is>
          <t>Card Withdrawals - Debit Purchase CIRCLE K # 01355 COLLINSVILLEIL</t>
        </is>
      </c>
      <c r="C253" t="n">
        <v>93.65000000000001</v>
      </c>
      <c r="D253" t="inlineStr">
        <is>
          <t>Debit</t>
        </is>
      </c>
    </row>
    <row r="254">
      <c r="A254" s="5" t="n">
        <v>45811</v>
      </c>
      <c r="B254" t="inlineStr">
        <is>
          <t>Other Withdrawals - Electronic Withdrawal To MERCURY CARD FBT</t>
        </is>
      </c>
      <c r="C254" t="n">
        <v>500</v>
      </c>
      <c r="D254" t="inlineStr">
        <is>
          <t>Debit</t>
        </is>
      </c>
    </row>
    <row r="255">
      <c r="A255" s="5" t="n">
        <v>45812</v>
      </c>
      <c r="B255" t="inlineStr">
        <is>
          <t>Card Withdrawals - Debit Purchase - VISA On 060325 FREEBURG IL 4300723778</t>
        </is>
      </c>
      <c r="C255" t="n">
        <v>34.52</v>
      </c>
      <c r="D255" t="inlineStr">
        <is>
          <t>Debit</t>
        </is>
      </c>
    </row>
    <row r="256">
      <c r="A256" s="5" t="n">
        <v>45817</v>
      </c>
      <c r="B256" t="inlineStr">
        <is>
          <t>Card Withdrawals - Debit Purchase - VISA On 060625 BELLEVILLE IL 8364861908</t>
        </is>
      </c>
      <c r="C256" t="n">
        <v>49</v>
      </c>
      <c r="D256" t="inlineStr">
        <is>
          <t>Debit</t>
        </is>
      </c>
    </row>
    <row r="257">
      <c r="A257" s="5" t="n">
        <v>45817</v>
      </c>
      <c r="B257" t="inlineStr">
        <is>
          <t>Card Withdrawals - Debit Purchase - VISA On 060625 BELLEVILLE IL 9855201074</t>
        </is>
      </c>
      <c r="C257" t="n">
        <v>120.88</v>
      </c>
      <c r="D257" t="inlineStr">
        <is>
          <t>Debit</t>
        </is>
      </c>
    </row>
    <row r="258">
      <c r="A258" s="5" t="n">
        <v>45817</v>
      </c>
      <c r="B258" t="inlineStr">
        <is>
          <t>Card Withdrawals - Debit Purchase - VISA On 060625 FREEBURG IL 8364641081</t>
        </is>
      </c>
      <c r="C258" t="n">
        <v>67.14</v>
      </c>
      <c r="D258" t="inlineStr">
        <is>
          <t>Debit</t>
        </is>
      </c>
    </row>
    <row r="259">
      <c r="A259" s="5" t="n">
        <v>45817</v>
      </c>
      <c r="B259" t="inlineStr">
        <is>
          <t>Card Withdrawals - Debit Purchase CIRCLE K # 01361 BELLEVILLE IL</t>
        </is>
      </c>
      <c r="C259" t="n">
        <v>12.96</v>
      </c>
      <c r="D259" t="inlineStr">
        <is>
          <t>Debit</t>
        </is>
      </c>
    </row>
    <row r="260">
      <c r="A260" s="5" t="n">
        <v>45817</v>
      </c>
      <c r="B260" t="inlineStr">
        <is>
          <t>Card Withdrawals - Debit Purchase verifyvend855-55 PROVIDENCE RI 5606061728</t>
        </is>
      </c>
      <c r="C260" t="n">
        <v>122</v>
      </c>
      <c r="D260" t="inlineStr">
        <is>
          <t>Debit</t>
        </is>
      </c>
    </row>
    <row r="261">
      <c r="A261" s="5" t="n">
        <v>45817</v>
      </c>
      <c r="B261" t="inlineStr">
        <is>
          <t>Other Withdrawals - Electronic Withdrawal To CEFCU TEL DEBIT</t>
        </is>
      </c>
      <c r="C261" t="n">
        <v>1042.46</v>
      </c>
      <c r="D261" t="inlineStr">
        <is>
          <t>Debit</t>
        </is>
      </c>
    </row>
    <row r="262">
      <c r="A262" s="5" t="n">
        <v>45817</v>
      </c>
      <c r="B262" t="inlineStr">
        <is>
          <t>Other Withdrawals - Electronic Withdrawal To MERCURY CARD FBT</t>
        </is>
      </c>
      <c r="C262" t="n">
        <v>1204.45</v>
      </c>
      <c r="D262" t="inlineStr">
        <is>
          <t>Debit</t>
        </is>
      </c>
    </row>
    <row r="263">
      <c r="A263" s="5" t="n">
        <v>45817</v>
      </c>
      <c r="B263" t="inlineStr">
        <is>
          <t>Other Withdrawals - Zelle Instant PMT To Nadia Session</t>
        </is>
      </c>
      <c r="C263" t="n">
        <v>245</v>
      </c>
      <c r="D263" t="inlineStr">
        <is>
          <t>Debit</t>
        </is>
      </c>
    </row>
    <row r="264">
      <c r="A264" s="5" t="n">
        <v>45818</v>
      </c>
      <c r="B264" t="inlineStr">
        <is>
          <t>Other Withdrawals - Mobile Banking Transfer To Account 152316874980</t>
        </is>
      </c>
      <c r="C264" t="n">
        <v>60</v>
      </c>
      <c r="D264" t="inlineStr">
        <is>
          <t>Debit</t>
        </is>
      </c>
    </row>
    <row r="265">
      <c r="A265" s="5" t="n">
        <v>45818</v>
      </c>
      <c r="B265" t="inlineStr">
        <is>
          <t>Other Withdrawals - Mobile Banking Transfer To Account 152316875235</t>
        </is>
      </c>
      <c r="C265" t="n">
        <v>200</v>
      </c>
      <c r="D265" t="inlineStr">
        <is>
          <t>Debit</t>
        </is>
      </c>
    </row>
    <row r="266">
      <c r="A266" s="5" t="n">
        <v>45820</v>
      </c>
      <c r="B266" t="inlineStr">
        <is>
          <t>Other Withdrawals - Electronic Withdrawal To BEST BUY</t>
        </is>
      </c>
      <c r="C266" t="n">
        <v>200</v>
      </c>
      <c r="D266" t="inlineStr">
        <is>
          <t>Debit</t>
        </is>
      </c>
    </row>
    <row r="267">
      <c r="A267" s="5" t="n">
        <v>45821</v>
      </c>
      <c r="B267" t="inlineStr">
        <is>
          <t>Card Withdrawals - Debit Purchase CIRCLE K # 01461 BELLEVILLE IL</t>
        </is>
      </c>
      <c r="C267" t="n">
        <v>100</v>
      </c>
      <c r="D267" t="inlineStr">
        <is>
          <t>Debit</t>
        </is>
      </c>
    </row>
    <row r="268">
      <c r="A268" s="5" t="n">
        <v>45824</v>
      </c>
      <c r="B268" t="inlineStr">
        <is>
          <t>Card Withdrawals - Debit Purchase - VISA On 061425 CARBONDALE IL 6001068534</t>
        </is>
      </c>
      <c r="C268" t="n">
        <v>416.83</v>
      </c>
      <c r="D268" t="inlineStr">
        <is>
          <t>Debit</t>
        </is>
      </c>
    </row>
    <row r="269">
      <c r="A269" s="5" t="n">
        <v>45824</v>
      </c>
      <c r="B269" t="inlineStr">
        <is>
          <t>Card Withdrawals - Debit Purchase verifyvend855-55 PROVIDENCE RI 8606131800</t>
        </is>
      </c>
      <c r="C269" t="n">
        <v>202</v>
      </c>
      <c r="D269" t="inlineStr">
        <is>
          <t>Debit</t>
        </is>
      </c>
    </row>
    <row r="270">
      <c r="A270" s="5" t="n">
        <v>45824</v>
      </c>
      <c r="B270" t="inlineStr">
        <is>
          <t>Other Withdrawals - Electronic Withdrawal To DISCOVER</t>
        </is>
      </c>
      <c r="C270" t="n">
        <v>1000</v>
      </c>
      <c r="D270" t="inlineStr">
        <is>
          <t>Debit</t>
        </is>
      </c>
    </row>
    <row r="271">
      <c r="A271" s="5" t="n">
        <v>45825</v>
      </c>
      <c r="B271" t="inlineStr">
        <is>
          <t>Card Withdrawals - Debit Purchase - VISA On 061525 618-9930015 IL 7900011307</t>
        </is>
      </c>
      <c r="C271" t="n">
        <v>121.52</v>
      </c>
      <c r="D271" t="inlineStr">
        <is>
          <t>Debit</t>
        </is>
      </c>
    </row>
    <row r="272">
      <c r="A272" s="5" t="n">
        <v>45825</v>
      </c>
      <c r="B272" t="inlineStr">
        <is>
          <t>Card Withdrawals - Debit Purchase - VISA On 061525 CARTERVILLE IL 7710013407</t>
        </is>
      </c>
      <c r="C272" t="n">
        <v>93</v>
      </c>
      <c r="D272" t="inlineStr">
        <is>
          <t>Debit</t>
        </is>
      </c>
    </row>
    <row r="273">
      <c r="A273" s="5" t="n">
        <v>45826</v>
      </c>
      <c r="B273" t="inlineStr">
        <is>
          <t>Other Withdrawals - Electronic Withdrawal To MIDLAND MTG</t>
        </is>
      </c>
      <c r="C273" t="n">
        <v>964.5599999999999</v>
      </c>
      <c r="D273" t="inlineStr">
        <is>
          <t>Debit</t>
        </is>
      </c>
    </row>
    <row r="274">
      <c r="A274" s="5" t="n">
        <v>45828</v>
      </c>
      <c r="B274" t="inlineStr">
        <is>
          <t>Card Withdrawals - Debit Purchase - VISA On 061825 freeburg IL 9102480727</t>
        </is>
      </c>
      <c r="C274" t="n">
        <v>9.67</v>
      </c>
      <c r="D274" t="inlineStr">
        <is>
          <t>Debit</t>
        </is>
      </c>
    </row>
    <row r="275">
      <c r="A275" s="5" t="n">
        <v>45828</v>
      </c>
      <c r="B275" t="inlineStr">
        <is>
          <t>Card Withdrawals - Debit Purchase CIRCLE K # 01345 CASEYVILLE IL</t>
        </is>
      </c>
      <c r="C275" t="n">
        <v>92.34</v>
      </c>
      <c r="D275" t="inlineStr">
        <is>
          <t>Debit</t>
        </is>
      </c>
    </row>
    <row r="276">
      <c r="A276" s="5" t="n">
        <v>45828</v>
      </c>
      <c r="B276" t="inlineStr">
        <is>
          <t>Other Withdrawals - Electronic Withdrawal To CATHOLIC CCU</t>
        </is>
      </c>
      <c r="C276" t="n">
        <v>574.5</v>
      </c>
      <c r="D276" t="inlineStr">
        <is>
          <t>Debit</t>
        </is>
      </c>
    </row>
    <row r="277">
      <c r="A277" s="5" t="n">
        <v>45828</v>
      </c>
      <c r="B277" t="inlineStr">
        <is>
          <t>Other Withdrawals - Mobile Banking Transfer To Account 152316875235</t>
        </is>
      </c>
      <c r="C277" t="n">
        <v>100</v>
      </c>
      <c r="D277" t="inlineStr">
        <is>
          <t>Debit</t>
        </is>
      </c>
    </row>
    <row r="278">
      <c r="A278" s="5" t="n">
        <v>45828</v>
      </c>
      <c r="B278" t="inlineStr">
        <is>
          <t>Other Withdrawals - Mobile Banking Transfer To Account 152316875235</t>
        </is>
      </c>
      <c r="C278" t="n">
        <v>250</v>
      </c>
      <c r="D278" t="inlineStr">
        <is>
          <t>Debit</t>
        </is>
      </c>
    </row>
    <row r="279">
      <c r="A279" s="5" t="n">
        <v>45828</v>
      </c>
      <c r="B279" t="inlineStr">
        <is>
          <t>Other Withdrawals - Mobile Banking Transfer To Account 152316875235</t>
        </is>
      </c>
      <c r="C279" t="n">
        <v>1000</v>
      </c>
      <c r="D279" t="inlineStr">
        <is>
          <t>Debit</t>
        </is>
      </c>
    </row>
    <row r="280">
      <c r="A280" s="5" t="n">
        <v>45831</v>
      </c>
      <c r="B280" t="inlineStr">
        <is>
          <t>Card Withdrawals - ATM Withdrawal 201 E MAIN ST CARBONDALE IL</t>
        </is>
      </c>
      <c r="C280" t="n">
        <v>33</v>
      </c>
      <c r="D280" t="inlineStr">
        <is>
          <t>Debit</t>
        </is>
      </c>
    </row>
    <row r="281">
      <c r="A281" s="5" t="n">
        <v>45831</v>
      </c>
      <c r="B281" t="inlineStr">
        <is>
          <t>Card Withdrawals - ATM Withdrawal 943 N MAIN ST MARISSA IL</t>
        </is>
      </c>
      <c r="C281" t="n">
        <v>43.25</v>
      </c>
      <c r="D281" t="inlineStr">
        <is>
          <t>Debit</t>
        </is>
      </c>
    </row>
    <row r="282">
      <c r="A282" s="5" t="n">
        <v>45831</v>
      </c>
      <c r="B282" t="inlineStr">
        <is>
          <t>Card Withdrawals - Debit Purchase - VISA On 062025 Freeburg IL 1101420999</t>
        </is>
      </c>
      <c r="C282" t="n">
        <v>72</v>
      </c>
      <c r="D282" t="inlineStr">
        <is>
          <t>Debit</t>
        </is>
      </c>
    </row>
    <row r="283">
      <c r="A283" s="5" t="n">
        <v>45831</v>
      </c>
      <c r="B283" t="inlineStr">
        <is>
          <t>Card Withdrawals - Debit Purchase - VISA On 062125 COULTERVILLE IL 3900018932</t>
        </is>
      </c>
      <c r="C283" t="n">
        <v>76.52</v>
      </c>
      <c r="D283" t="inlineStr">
        <is>
          <t>Debit</t>
        </is>
      </c>
    </row>
    <row r="284">
      <c r="A284" s="5" t="n">
        <v>45831</v>
      </c>
      <c r="B284" t="inlineStr">
        <is>
          <t>Card Withdrawals - Fee ATM Withdrawal At Other Network 2300000486 $</t>
        </is>
      </c>
      <c r="C284" t="n">
        <v>3</v>
      </c>
      <c r="D284" t="inlineStr">
        <is>
          <t>Debit</t>
        </is>
      </c>
    </row>
    <row r="285">
      <c r="A285" s="5" t="n">
        <v>45831</v>
      </c>
      <c r="B285" t="inlineStr">
        <is>
          <t>Card Withdrawals - Fee ATM Withdrawal At Other Network 2300000487</t>
        </is>
      </c>
      <c r="C285" t="n">
        <v>3</v>
      </c>
      <c r="D285" t="inlineStr">
        <is>
          <t>Debit</t>
        </is>
      </c>
    </row>
    <row r="286">
      <c r="A286" s="5" t="n">
        <v>45831</v>
      </c>
      <c r="B286" t="inlineStr">
        <is>
          <t>Other Withdrawals - Customer Withdrawal 8014668858</t>
        </is>
      </c>
      <c r="C286" t="n">
        <v>300</v>
      </c>
      <c r="D286" t="inlineStr">
        <is>
          <t>Debit</t>
        </is>
      </c>
    </row>
    <row r="287">
      <c r="A287" s="5" t="n">
        <v>45833</v>
      </c>
      <c r="B287" t="inlineStr">
        <is>
          <t>Card Withdrawals - Debit Purchase BP#1735700ARENA BELLEVILLE IL</t>
        </is>
      </c>
      <c r="C287" t="n">
        <v>99.09</v>
      </c>
      <c r="D287" t="inlineStr">
        <is>
          <t>Debit</t>
        </is>
      </c>
    </row>
    <row r="288">
      <c r="A288" s="5" t="n">
        <v>45833</v>
      </c>
      <c r="B288" t="inlineStr">
        <is>
          <t>Card Withdrawals - Debit Purchase CIRCLE K # 01347 BELLEVILLE IL</t>
        </is>
      </c>
      <c r="C288" t="n">
        <v>0.27</v>
      </c>
      <c r="D288" t="inlineStr">
        <is>
          <t>Debit</t>
        </is>
      </c>
    </row>
    <row r="289">
      <c r="A289" s="5" t="n">
        <v>45833</v>
      </c>
      <c r="B289" t="inlineStr">
        <is>
          <t>Other Deposits - Mobile Banking Transfer From Account 152316874980</t>
        </is>
      </c>
      <c r="C289" t="n">
        <v>275</v>
      </c>
      <c r="D289" t="inlineStr">
        <is>
          <t>Credit</t>
        </is>
      </c>
    </row>
    <row r="290">
      <c r="A290" s="5" t="n">
        <v>45833</v>
      </c>
      <c r="B290" t="inlineStr">
        <is>
          <t>Other Deposits - Mobile Check Deposit 8612808536</t>
        </is>
      </c>
      <c r="C290" t="n">
        <v>200</v>
      </c>
      <c r="D290" t="inlineStr">
        <is>
          <t>Credit</t>
        </is>
      </c>
    </row>
    <row r="291">
      <c r="A291" s="5" t="n">
        <v>45834</v>
      </c>
      <c r="B291" t="inlineStr">
        <is>
          <t>Card Withdrawals - Debit Purchase - VISA On 062525 BELLEVILLE IL 6385642499</t>
        </is>
      </c>
      <c r="C291" t="n">
        <v>20.65</v>
      </c>
      <c r="D291" t="inlineStr">
        <is>
          <t>Debit</t>
        </is>
      </c>
    </row>
    <row r="292">
      <c r="A292" s="5" t="n">
        <v>45834</v>
      </c>
      <c r="B292" t="inlineStr">
        <is>
          <t>Card Withdrawals - Recurring Debit Purchase On 062425 800-288-2020 TX 7106069140</t>
        </is>
      </c>
      <c r="C292" t="n">
        <v>124.67</v>
      </c>
      <c r="D292" t="inlineStr">
        <is>
          <t>Debit</t>
        </is>
      </c>
    </row>
    <row r="293">
      <c r="A293" s="5" t="n">
        <v>45834</v>
      </c>
      <c r="B293" t="inlineStr">
        <is>
          <t>Card Withdrawals - Recurring Debit Purchase On 062525 888-270-2644 IN 7106113836</t>
        </is>
      </c>
      <c r="C293" t="n">
        <v>817.5</v>
      </c>
      <c r="D293" t="inlineStr">
        <is>
          <t>Debit</t>
        </is>
      </c>
    </row>
    <row r="294">
      <c r="A294" s="5" t="n">
        <v>45834</v>
      </c>
      <c r="B294" t="inlineStr">
        <is>
          <t>Other Deposits - Mobile Banking Transfer From Account 152316874980</t>
        </is>
      </c>
      <c r="C294" t="n">
        <v>480</v>
      </c>
      <c r="D294" t="inlineStr">
        <is>
          <t>Credit</t>
        </is>
      </c>
    </row>
    <row r="295">
      <c r="A295" s="5" t="n">
        <v>45834</v>
      </c>
      <c r="B295" t="inlineStr">
        <is>
          <t>Other Deposits - Mobile Check Deposit 8913423413</t>
        </is>
      </c>
      <c r="C295" t="n">
        <v>4500</v>
      </c>
      <c r="D295" t="inlineStr">
        <is>
          <t>Credit</t>
        </is>
      </c>
    </row>
    <row r="296">
      <c r="A296" s="5" t="n">
        <v>45835</v>
      </c>
      <c r="B296" t="inlineStr">
        <is>
          <t>Card Withdrawals - Debit Purchase - VISA On 062625 BELLEVILLE IL 7005291363</t>
        </is>
      </c>
      <c r="C296" t="n">
        <v>35.32</v>
      </c>
      <c r="D296" t="inlineStr">
        <is>
          <t>Debit</t>
        </is>
      </c>
    </row>
    <row r="297">
      <c r="A297" s="5" t="n">
        <v>45835</v>
      </c>
      <c r="B297" t="inlineStr">
        <is>
          <t>Other Withdrawals - Mobile Banking Transfer To Account 152316875235</t>
        </is>
      </c>
      <c r="C297" t="n">
        <v>600</v>
      </c>
      <c r="D297" t="inlineStr">
        <is>
          <t>Debit</t>
        </is>
      </c>
    </row>
    <row r="298">
      <c r="A298" s="5" t="n">
        <v>45835</v>
      </c>
      <c r="B298" t="inlineStr">
        <is>
          <t>Other Withdrawals - Zelle Instant PMT To Brian Davis</t>
        </is>
      </c>
      <c r="C298" t="n">
        <v>1400</v>
      </c>
      <c r="D298" t="inlineStr">
        <is>
          <t>Debit</t>
        </is>
      </c>
    </row>
    <row r="299">
      <c r="A299" s="5" t="n">
        <v>45835</v>
      </c>
      <c r="B299" t="inlineStr">
        <is>
          <t>Other Withdrawals - Zelle Instant PMT To Casey Williamson</t>
        </is>
      </c>
      <c r="C299" t="n">
        <v>640</v>
      </c>
      <c r="D299" t="inlineStr">
        <is>
          <t>Debit</t>
        </is>
      </c>
    </row>
    <row r="300">
      <c r="A300" s="5" t="n">
        <v>45838</v>
      </c>
      <c r="B300" t="inlineStr">
        <is>
          <t>Card Withdrawals - ATM Withdrawal 437 EDWARDSVILLE TROY IL</t>
        </is>
      </c>
      <c r="C300" t="n">
        <v>203.25</v>
      </c>
      <c r="D300" t="inlineStr">
        <is>
          <t>Debit</t>
        </is>
      </c>
    </row>
    <row r="301">
      <c r="A301" s="5" t="n">
        <v>45838</v>
      </c>
      <c r="B301" t="inlineStr">
        <is>
          <t>Card Withdrawals - Debit Purchase CASEYS #3252 129 NEW ATHENS IL 7506291915</t>
        </is>
      </c>
      <c r="C301" t="n">
        <v>15.56</v>
      </c>
      <c r="D301" t="inlineStr">
        <is>
          <t>Debit</t>
        </is>
      </c>
    </row>
    <row r="302">
      <c r="A302" s="5" t="n">
        <v>45838</v>
      </c>
      <c r="B302" t="inlineStr">
        <is>
          <t>Card Withdrawals - Debit Purchase MILLSTADT IGA MILLSTADT IL 4706301328</t>
        </is>
      </c>
      <c r="C302" t="n">
        <v>70.12</v>
      </c>
      <c r="D302" t="inlineStr">
        <is>
          <t>Debit</t>
        </is>
      </c>
    </row>
    <row r="303">
      <c r="A303" s="5" t="n">
        <v>45838</v>
      </c>
      <c r="B303" t="inlineStr">
        <is>
          <t>Card Withdrawals - Fee ATM Withdrawal At Other Network 3000000438</t>
        </is>
      </c>
      <c r="C303" t="n">
        <v>3</v>
      </c>
      <c r="D303" t="inlineStr">
        <is>
          <t>Debit</t>
        </is>
      </c>
    </row>
    <row r="304">
      <c r="A304" s="5" t="n">
        <v>45839</v>
      </c>
      <c r="B304" t="inlineStr">
        <is>
          <t>Card Withdrawals - Debit Purchase - VISA On 062925 NEW ATHENS IL 1300667218</t>
        </is>
      </c>
      <c r="C304" t="n">
        <v>92.05</v>
      </c>
      <c r="D304" t="inlineStr">
        <is>
          <t>Debit</t>
        </is>
      </c>
    </row>
    <row r="305">
      <c r="A305" s="5" t="n">
        <v>45839</v>
      </c>
      <c r="B305" t="inlineStr">
        <is>
          <t>Card Withdrawals - Debit Purchase BP#17263004-0 Q TROY IL $</t>
        </is>
      </c>
      <c r="C305" t="n">
        <v>58.95</v>
      </c>
      <c r="D305" t="inlineStr">
        <is>
          <t>Debit</t>
        </is>
      </c>
    </row>
    <row r="306">
      <c r="A306" s="5" t="n">
        <v>45840</v>
      </c>
      <c r="B306" t="inlineStr">
        <is>
          <t>Other Withdrawals - Mobile Banking Payment To Credit Card *************3424 $</t>
        </is>
      </c>
      <c r="C306" t="n">
        <v>143</v>
      </c>
      <c r="D306" t="inlineStr">
        <is>
          <t>Debit</t>
        </is>
      </c>
    </row>
    <row r="307">
      <c r="A307" s="5" t="n">
        <v>45841</v>
      </c>
      <c r="B307" t="inlineStr">
        <is>
          <t>Card Withdrawals - Debit Purchase - VISA On 070125 NEW BADEN IL 3393059601</t>
        </is>
      </c>
      <c r="C307" t="n">
        <v>13.68</v>
      </c>
      <c r="D307" t="inlineStr">
        <is>
          <t>Debit</t>
        </is>
      </c>
    </row>
    <row r="308">
      <c r="A308" s="5" t="n">
        <v>45841</v>
      </c>
      <c r="B308" t="inlineStr">
        <is>
          <t>Card Withdrawals - Debit Purchase - VISA On 070225 New Athens IL 4102458955</t>
        </is>
      </c>
      <c r="C308" t="n">
        <v>29.1</v>
      </c>
      <c r="D308" t="inlineStr">
        <is>
          <t>Debit</t>
        </is>
      </c>
    </row>
    <row r="309">
      <c r="A309" s="5" t="n">
        <v>45841</v>
      </c>
      <c r="B309" t="inlineStr">
        <is>
          <t>Card Withdrawals - Debit Purchase DOLLAR-GENERAL # FREEBURG IL 9907031526</t>
        </is>
      </c>
      <c r="C309" t="n">
        <v>57.4</v>
      </c>
      <c r="D309" t="inlineStr">
        <is>
          <t>Debit</t>
        </is>
      </c>
    </row>
    <row r="310">
      <c r="A310" s="5" t="n">
        <v>45841</v>
      </c>
      <c r="B310" t="inlineStr">
        <is>
          <t>Card Withdrawals - Debit Purchase MOTOMART FREEBURG IL</t>
        </is>
      </c>
      <c r="C310" t="n">
        <v>20.94</v>
      </c>
      <c r="D310" t="inlineStr">
        <is>
          <t>Debit</t>
        </is>
      </c>
    </row>
    <row r="311">
      <c r="A311" s="5" t="n">
        <v>45841</v>
      </c>
      <c r="B311" t="inlineStr">
        <is>
          <t>Card Withdrawals - Debit Purchase MOTOMART FREEBURG IL</t>
        </is>
      </c>
      <c r="C311" t="n">
        <v>87.08</v>
      </c>
      <c r="D311" t="inlineStr">
        <is>
          <t>Debit</t>
        </is>
      </c>
    </row>
    <row r="312">
      <c r="A312" s="5" t="n">
        <v>45841</v>
      </c>
      <c r="B312" t="inlineStr">
        <is>
          <t>Card Withdrawals - Recurring Debit Purchase On 070225 800-956-6310 IL 3238232725</t>
        </is>
      </c>
      <c r="C312" t="n">
        <v>328.77</v>
      </c>
      <c r="D312" t="inlineStr">
        <is>
          <t>Debit</t>
        </is>
      </c>
    </row>
    <row r="313">
      <c r="A313" s="5" t="n">
        <v>45845</v>
      </c>
      <c r="B313" t="inlineStr">
        <is>
          <t>Card Withdrawals - Debit Purchase - VISA On 070325 BELLEVILLE IL 5395567156</t>
        </is>
      </c>
      <c r="C313" t="n">
        <v>13.95</v>
      </c>
      <c r="D313" t="inlineStr">
        <is>
          <t>Debit</t>
        </is>
      </c>
    </row>
    <row r="314">
      <c r="A314" s="5" t="n">
        <v>45845</v>
      </c>
      <c r="B314" t="inlineStr">
        <is>
          <t>Card Withdrawals - Debit Purchase - VISA On 070525 COULTERVILLE IL 7900010273</t>
        </is>
      </c>
      <c r="C314" t="n">
        <v>38.25</v>
      </c>
      <c r="D314" t="inlineStr">
        <is>
          <t>Debit</t>
        </is>
      </c>
    </row>
    <row r="315">
      <c r="A315" s="5" t="n">
        <v>45845</v>
      </c>
      <c r="B315" t="inlineStr">
        <is>
          <t>Card Withdrawals - Debit Purchase - VISA On 070525 FREEBURG IL 6720243407</t>
        </is>
      </c>
      <c r="C315" t="n">
        <v>21.07</v>
      </c>
      <c r="D315" t="inlineStr">
        <is>
          <t>Debit</t>
        </is>
      </c>
    </row>
    <row r="316">
      <c r="A316" s="5" t="n">
        <v>45845</v>
      </c>
      <c r="B316" t="inlineStr">
        <is>
          <t>Other Withdrawals - Mobile Banking Transfer To Account 152316874980</t>
        </is>
      </c>
      <c r="C316" t="n">
        <v>34</v>
      </c>
      <c r="D316" t="inlineStr">
        <is>
          <t>Debit</t>
        </is>
      </c>
    </row>
    <row r="317">
      <c r="A317" s="5" t="n">
        <v>45845</v>
      </c>
      <c r="B317" t="inlineStr">
        <is>
          <t>Other Withdrawals - Zelle Instant PMT To Brian Davis</t>
        </is>
      </c>
      <c r="C317" t="n">
        <v>1100</v>
      </c>
      <c r="D317" t="inlineStr">
        <is>
          <t>Debit</t>
        </is>
      </c>
    </row>
    <row r="318">
      <c r="A318" s="5" t="n">
        <v>45845</v>
      </c>
      <c r="B318" t="inlineStr">
        <is>
          <t>Other Withdrawals - Zelle Instant PMT To Casey Williamson</t>
        </is>
      </c>
      <c r="C318" t="n">
        <v>425</v>
      </c>
      <c r="D318" t="inlineStr">
        <is>
          <t>Debit</t>
        </is>
      </c>
    </row>
    <row r="319">
      <c r="A319" s="5" t="n">
        <v>45845</v>
      </c>
      <c r="B319" t="inlineStr">
        <is>
          <t>Other Withdrawals - Zelle Instant PMT To Nadia Session</t>
        </is>
      </c>
      <c r="C319" t="n">
        <v>245</v>
      </c>
      <c r="D319" t="inlineStr">
        <is>
          <t>Debit</t>
        </is>
      </c>
    </row>
    <row r="320">
      <c r="A320" s="5" t="n">
        <v>45846</v>
      </c>
      <c r="B320" t="inlineStr">
        <is>
          <t>Card Withdrawals - Debit Purchase - VISA On 070725 BELLEVILLE IL 9001111107</t>
        </is>
      </c>
      <c r="C320" t="n">
        <v>21.46</v>
      </c>
      <c r="D320" t="inlineStr">
        <is>
          <t>Debit</t>
        </is>
      </c>
    </row>
    <row r="321">
      <c r="A321" s="5" t="n">
        <v>45846</v>
      </c>
      <c r="B321" t="inlineStr">
        <is>
          <t>Card Withdrawals - Debit Purchase DOLLAR-GENERAL # FREEBURG IL 0607071935</t>
        </is>
      </c>
      <c r="C321" t="n">
        <v>87.34</v>
      </c>
      <c r="D321" t="inlineStr">
        <is>
          <t>Debit</t>
        </is>
      </c>
    </row>
    <row r="322">
      <c r="A322" s="5" t="n">
        <v>45846</v>
      </c>
      <c r="B322" t="inlineStr">
        <is>
          <t>Other Withdrawals - Electronic Withdrawal To CEFCU TEL DEBIT</t>
        </is>
      </c>
      <c r="C322" t="n">
        <v>1042.46</v>
      </c>
      <c r="D322" t="inlineStr">
        <is>
          <t>Debit</t>
        </is>
      </c>
    </row>
    <row r="323">
      <c r="A323" s="5" t="n">
        <v>45847</v>
      </c>
      <c r="B323" t="inlineStr">
        <is>
          <t>Card Withdrawals - Debit Purchase - VISA On 070825 BELLEVILLE IL 9001647062</t>
        </is>
      </c>
      <c r="C323" t="n">
        <v>4.21</v>
      </c>
      <c r="D323" t="inlineStr">
        <is>
          <t>Debit</t>
        </is>
      </c>
    </row>
    <row r="324">
      <c r="A324" s="5" t="n">
        <v>45847</v>
      </c>
      <c r="B324" t="inlineStr">
        <is>
          <t>Card Withdrawals - Debit Purchase - VISA On 070825 BELLEVILLE IL 9018202101</t>
        </is>
      </c>
      <c r="C324" t="n">
        <v>50</v>
      </c>
      <c r="D324" t="inlineStr">
        <is>
          <t>Debit</t>
        </is>
      </c>
    </row>
    <row r="325">
      <c r="A325" s="5" t="n">
        <v>45847</v>
      </c>
      <c r="B325" t="inlineStr">
        <is>
          <t>Card Withdrawals - Debit Purchase - VISA On 070825 BELLEVILLE IL 9720245401</t>
        </is>
      </c>
      <c r="C325" t="n">
        <v>2.04</v>
      </c>
      <c r="D325" t="inlineStr">
        <is>
          <t>Debit</t>
        </is>
      </c>
    </row>
    <row r="326">
      <c r="A326" s="5" t="n">
        <v>45847</v>
      </c>
      <c r="B326" t="inlineStr">
        <is>
          <t>Card Withdrawals - Debit Purchase - VISA On 070825 BELLEVILLE IL 9900012800</t>
        </is>
      </c>
      <c r="C326" t="n">
        <v>75.87</v>
      </c>
      <c r="D326" t="inlineStr">
        <is>
          <t>Debit</t>
        </is>
      </c>
    </row>
    <row r="327">
      <c r="A327" s="5" t="n">
        <v>45847</v>
      </c>
      <c r="B327" t="inlineStr">
        <is>
          <t>Card Withdrawals - Debit Purchase - VISA On 070825 NEW ATHENS IL 9300712625</t>
        </is>
      </c>
      <c r="C327" t="n">
        <v>36.61</v>
      </c>
      <c r="D327" t="inlineStr">
        <is>
          <t>Debit</t>
        </is>
      </c>
    </row>
    <row r="328">
      <c r="A328" s="5" t="n">
        <v>45847</v>
      </c>
      <c r="B328" t="inlineStr">
        <is>
          <t>Other Withdrawals - Zelle Instant PMT To Tabitha Session</t>
        </is>
      </c>
      <c r="C328" t="n">
        <v>239</v>
      </c>
      <c r="D328" t="inlineStr">
        <is>
          <t>Debit</t>
        </is>
      </c>
    </row>
    <row r="329">
      <c r="A329" s="5" t="n">
        <v>45848</v>
      </c>
      <c r="B329" t="inlineStr">
        <is>
          <t>Card Withdrawals - Debit Purchase - VISA On 070925 FREEBURG IL 0720246535</t>
        </is>
      </c>
      <c r="C329" t="n">
        <v>4.14</v>
      </c>
      <c r="D329" t="inlineStr">
        <is>
          <t>Debit</t>
        </is>
      </c>
    </row>
    <row r="330">
      <c r="A330" s="5" t="n">
        <v>45848</v>
      </c>
      <c r="B330" t="inlineStr">
        <is>
          <t>Card Withdrawals - Debit Purchase - VISA On 070925 NEW ATHENS IL 0900016131</t>
        </is>
      </c>
      <c r="C330" t="n">
        <v>42.45</v>
      </c>
      <c r="D330" t="inlineStr">
        <is>
          <t>Debit</t>
        </is>
      </c>
    </row>
    <row r="331">
      <c r="A331" s="5" t="n">
        <v>45848</v>
      </c>
      <c r="B331" t="inlineStr">
        <is>
          <t>Card Withdrawals - Debit Purchase USPS PO 16290405 FREEBURG IL 8807101245</t>
        </is>
      </c>
      <c r="C331" t="n">
        <v>0.73</v>
      </c>
      <c r="D331" t="inlineStr">
        <is>
          <t>Debit</t>
        </is>
      </c>
    </row>
    <row r="332">
      <c r="A332" s="5" t="n">
        <v>45848</v>
      </c>
      <c r="B332" t="inlineStr">
        <is>
          <t>Other Deposits - Mobile Check Deposit 8911675733 $</t>
        </is>
      </c>
      <c r="C332" t="n">
        <v>7747</v>
      </c>
      <c r="D332" t="inlineStr">
        <is>
          <t>Credit</t>
        </is>
      </c>
    </row>
    <row r="333">
      <c r="A333" s="5" t="n">
        <v>45849</v>
      </c>
      <c r="B333" t="inlineStr">
        <is>
          <t>Card Withdrawals - Debit Purchase - VISA On 070925 BELLEVILLE IL 1109127181</t>
        </is>
      </c>
      <c r="C333" t="n">
        <v>14.17</v>
      </c>
      <c r="D333" t="inlineStr">
        <is>
          <t>Debit</t>
        </is>
      </c>
    </row>
    <row r="334">
      <c r="A334" s="5" t="n">
        <v>45849</v>
      </c>
      <c r="B334" t="inlineStr">
        <is>
          <t>Other Withdrawals - Electronic Withdrawal To MIDLAND MTG</t>
        </is>
      </c>
      <c r="C334" t="n">
        <v>964.5599999999999</v>
      </c>
      <c r="D334" t="inlineStr">
        <is>
          <t>Debit</t>
        </is>
      </c>
    </row>
    <row r="335">
      <c r="A335" s="5" t="n">
        <v>45849</v>
      </c>
      <c r="B335" t="inlineStr">
        <is>
          <t>Other Withdrawals - Zelle Instant PMT To Brian Davis</t>
        </is>
      </c>
      <c r="C335" t="n">
        <v>1300</v>
      </c>
      <c r="D335" t="inlineStr">
        <is>
          <t>Debit</t>
        </is>
      </c>
    </row>
    <row r="336">
      <c r="A336" s="5" t="n">
        <v>45849</v>
      </c>
      <c r="B336" t="inlineStr">
        <is>
          <t>Other Withdrawals - Zelle Instant PMT To Casey Williamson</t>
        </is>
      </c>
      <c r="C336" t="n">
        <v>725</v>
      </c>
      <c r="D336" t="inlineStr">
        <is>
          <t>Debit</t>
        </is>
      </c>
    </row>
    <row r="337">
      <c r="A337" s="5" t="n">
        <v>45852</v>
      </c>
      <c r="B337" t="inlineStr">
        <is>
          <t>Card Withdrawals - Debit Purchase - VISA On 071025 618-2572410 IL 2045103522</t>
        </is>
      </c>
      <c r="C337" t="n">
        <v>41.37</v>
      </c>
      <c r="D337" t="inlineStr">
        <is>
          <t>Debit</t>
        </is>
      </c>
    </row>
    <row r="338">
      <c r="A338" s="5" t="n">
        <v>45852</v>
      </c>
      <c r="B338" t="inlineStr">
        <is>
          <t>Card Withdrawals - Debit Purchase - VISA On 071025 BELLEVILLE IL 2100429130</t>
        </is>
      </c>
      <c r="C338" t="n">
        <v>14.6</v>
      </c>
      <c r="D338" t="inlineStr">
        <is>
          <t>Debit</t>
        </is>
      </c>
    </row>
    <row r="339">
      <c r="A339" s="5" t="n">
        <v>45852</v>
      </c>
      <c r="B339" t="inlineStr">
        <is>
          <t>Card Withdrawals - Debit Purchase - VISA On 071025 FAIRVIEW HEI IL 3101124536</t>
        </is>
      </c>
      <c r="C339" t="n">
        <v>25.99</v>
      </c>
      <c r="D339" t="inlineStr">
        <is>
          <t>Debit</t>
        </is>
      </c>
    </row>
    <row r="340">
      <c r="A340" s="5" t="n">
        <v>45852</v>
      </c>
      <c r="B340" t="inlineStr">
        <is>
          <t>Card Withdrawals - Debit Purchase - VISA On 071025 FAIRVIEW HEI IL 3404596959</t>
        </is>
      </c>
      <c r="C340" t="n">
        <v>63</v>
      </c>
      <c r="D340" t="inlineStr">
        <is>
          <t>Debit</t>
        </is>
      </c>
    </row>
    <row r="341">
      <c r="A341" s="5" t="n">
        <v>45852</v>
      </c>
      <c r="B341" t="inlineStr">
        <is>
          <t>Card Withdrawals - Debit Purchase - VISA On 071025 FAIRVIEW HTS IL 2243783225</t>
        </is>
      </c>
      <c r="C341" t="n">
        <v>137.18</v>
      </c>
      <c r="D341" t="inlineStr">
        <is>
          <t>Debit</t>
        </is>
      </c>
    </row>
    <row r="342">
      <c r="A342" s="5" t="n">
        <v>45852</v>
      </c>
      <c r="B342" t="inlineStr">
        <is>
          <t>Card Withdrawals - Debit Purchase - VISA On 071025 NEW ATHENS IL 2300709482</t>
        </is>
      </c>
      <c r="C342" t="n">
        <v>77.76000000000001</v>
      </c>
      <c r="D342" t="inlineStr">
        <is>
          <t>Debit</t>
        </is>
      </c>
    </row>
    <row r="343">
      <c r="A343" s="5" t="n">
        <v>45852</v>
      </c>
      <c r="B343" t="inlineStr">
        <is>
          <t>Card Withdrawals - Debit Purchase - VISA On 071125 FAIRVIEW HEI IL 4405735017</t>
        </is>
      </c>
      <c r="C343" t="n">
        <v>71.95</v>
      </c>
      <c r="D343" t="inlineStr">
        <is>
          <t>Debit</t>
        </is>
      </c>
    </row>
    <row r="344">
      <c r="A344" s="5" t="n">
        <v>45852</v>
      </c>
      <c r="B344" t="inlineStr">
        <is>
          <t>Card Withdrawals - Debit Purchase - VISA On 071125 O'FALLON IL 4052300445</t>
        </is>
      </c>
      <c r="C344" t="n">
        <v>168.18</v>
      </c>
      <c r="D344" t="inlineStr">
        <is>
          <t>Debit</t>
        </is>
      </c>
    </row>
    <row r="345">
      <c r="A345" s="5" t="n">
        <v>45852</v>
      </c>
      <c r="B345" t="inlineStr">
        <is>
          <t>Card Withdrawals - Debit Purchase - VISA On 071225 OFallon IL 4102422557</t>
        </is>
      </c>
      <c r="C345" t="n">
        <v>90.56999999999999</v>
      </c>
      <c r="D345" t="inlineStr">
        <is>
          <t>Debit</t>
        </is>
      </c>
    </row>
    <row r="346">
      <c r="A346" s="5" t="n">
        <v>45852</v>
      </c>
      <c r="B346" t="inlineStr">
        <is>
          <t>Card Withdrawals - Debit Purchase - VISA On 071325 FREEBURG IL 4300750536</t>
        </is>
      </c>
      <c r="C346" t="n">
        <v>43.48</v>
      </c>
      <c r="D346" t="inlineStr">
        <is>
          <t>Debit</t>
        </is>
      </c>
    </row>
    <row r="347">
      <c r="A347" s="5" t="n">
        <v>45852</v>
      </c>
      <c r="B347" t="inlineStr">
        <is>
          <t>Card Withdrawals - Debit Purchase TRACTOR SUPPLY # BELLEVILLE IL 0707140918</t>
        </is>
      </c>
      <c r="C347" t="n">
        <v>46.97</v>
      </c>
      <c r="D347" t="inlineStr">
        <is>
          <t>Debit</t>
        </is>
      </c>
    </row>
    <row r="348">
      <c r="A348" s="5" t="n">
        <v>45852</v>
      </c>
      <c r="B348" t="inlineStr">
        <is>
          <t>Other Withdrawals - Electronic Withdrawal To BEST BUY</t>
        </is>
      </c>
      <c r="C348" t="n">
        <v>200</v>
      </c>
      <c r="D348" t="inlineStr">
        <is>
          <t>Debit</t>
        </is>
      </c>
    </row>
    <row r="349">
      <c r="A349" s="5" t="n">
        <v>45852</v>
      </c>
      <c r="B349" t="inlineStr">
        <is>
          <t>Other Withdrawals - Electronic Withdrawal To DISCOVER</t>
        </is>
      </c>
      <c r="C349" t="n">
        <v>1000</v>
      </c>
      <c r="D349" t="inlineStr">
        <is>
          <t>Debit</t>
        </is>
      </c>
    </row>
    <row r="350">
      <c r="A350" s="5" t="n">
        <v>45852</v>
      </c>
      <c r="B350" t="inlineStr">
        <is>
          <t>Other Withdrawals - Mobile Banking Payment To Credit Card *************3424</t>
        </is>
      </c>
      <c r="C350" t="n">
        <v>1000</v>
      </c>
      <c r="D350" t="inlineStr">
        <is>
          <t>Debit</t>
        </is>
      </c>
    </row>
    <row r="351">
      <c r="A351" s="5" t="n">
        <v>45853</v>
      </c>
      <c r="B351" t="inlineStr">
        <is>
          <t>Card Withdrawals - Debit Purchase - VISA On 071425 FREEBURG IL 5720245640</t>
        </is>
      </c>
      <c r="C351" t="n">
        <v>12.55</v>
      </c>
      <c r="D351" t="inlineStr">
        <is>
          <t>Debit</t>
        </is>
      </c>
    </row>
    <row r="352">
      <c r="A352" s="5" t="n">
        <v>45853</v>
      </c>
      <c r="B352" t="inlineStr">
        <is>
          <t>Card Withdrawals - Debit Purchase - VISA On 071425 Freeburg IL 5004389641</t>
        </is>
      </c>
      <c r="C352" t="n">
        <v>27.33</v>
      </c>
      <c r="D352" t="inlineStr">
        <is>
          <t>Debit</t>
        </is>
      </c>
    </row>
    <row r="353">
      <c r="A353" s="5" t="n">
        <v>45853</v>
      </c>
      <c r="B353" t="inlineStr">
        <is>
          <t>Card Withdrawals - Debit Purchase - VISA On 071425 freeburg IL 5103403306</t>
        </is>
      </c>
      <c r="C353" t="n">
        <v>4.52</v>
      </c>
      <c r="D353" t="inlineStr">
        <is>
          <t>Debit</t>
        </is>
      </c>
    </row>
    <row r="354">
      <c r="A354" s="5" t="n">
        <v>45853</v>
      </c>
      <c r="B354" t="inlineStr">
        <is>
          <t>Card Withdrawals - Debit Purchase CASEYS #2897 705 MASCOUTAH IL 9707151442</t>
        </is>
      </c>
      <c r="C354" t="n">
        <v>7.06</v>
      </c>
      <c r="D354" t="inlineStr">
        <is>
          <t>Debit</t>
        </is>
      </c>
    </row>
    <row r="355">
      <c r="A355" s="5" t="n">
        <v>45853</v>
      </c>
      <c r="B355" t="inlineStr">
        <is>
          <t>Other Withdrawals - Analysis Service Charge 1500000000</t>
        </is>
      </c>
      <c r="C355" t="n">
        <v>17.16</v>
      </c>
      <c r="D355" t="inlineStr">
        <is>
          <t>Debit</t>
        </is>
      </c>
    </row>
    <row r="356">
      <c r="A356" s="5" t="n">
        <v>45853</v>
      </c>
      <c r="B356" t="inlineStr">
        <is>
          <t>Other Withdrawals - Mobile Banking Transfer To Account 152316875235</t>
        </is>
      </c>
      <c r="C356" t="n">
        <v>350</v>
      </c>
      <c r="D356" t="inlineStr">
        <is>
          <t>Debit</t>
        </is>
      </c>
    </row>
    <row r="357">
      <c r="A357" s="5" t="n">
        <v>45854</v>
      </c>
      <c r="B357" t="inlineStr">
        <is>
          <t>Card Withdrawals - Debit Purchase - VISA On 071525 FREEBURG IL 6720246713</t>
        </is>
      </c>
      <c r="C357" t="n">
        <v>5.31</v>
      </c>
      <c r="D357" t="inlineStr">
        <is>
          <t>Debit</t>
        </is>
      </c>
    </row>
    <row r="358">
      <c r="A358" s="5" t="n">
        <v>45854</v>
      </c>
      <c r="B358" t="inlineStr">
        <is>
          <t>Other Deposits - Debit Purchase Ret - VISA On 071525 BELLEVILLE IL 6018202101</t>
        </is>
      </c>
      <c r="C358" t="n">
        <v>50</v>
      </c>
      <c r="D358" t="inlineStr">
        <is>
          <t>Credit</t>
        </is>
      </c>
    </row>
    <row r="359">
      <c r="A359" s="5" t="n">
        <v>45855</v>
      </c>
      <c r="B359" t="inlineStr">
        <is>
          <t>Card Withdrawals - Debit Purchase - VISA On 071525 618-2834559 IL 7073408677</t>
        </is>
      </c>
      <c r="C359" t="n">
        <v>29.39</v>
      </c>
      <c r="D359" t="inlineStr">
        <is>
          <t>Debit</t>
        </is>
      </c>
    </row>
    <row r="360">
      <c r="A360" s="5" t="n">
        <v>45855</v>
      </c>
      <c r="B360" t="inlineStr">
        <is>
          <t>Card Withdrawals - Debit Purchase - VISA On 071525 MASCOUTAH IL 7300651285</t>
        </is>
      </c>
      <c r="C360" t="n">
        <v>72.42</v>
      </c>
      <c r="D360" t="inlineStr">
        <is>
          <t>Debit</t>
        </is>
      </c>
    </row>
    <row r="361">
      <c r="A361" s="5" t="n">
        <v>45855</v>
      </c>
      <c r="B361" t="inlineStr">
        <is>
          <t>Card Withdrawals - Debit Purchase WALGREENS STORE BELLEVILLE IL 5007171205</t>
        </is>
      </c>
      <c r="C361" t="n">
        <v>31.18</v>
      </c>
      <c r="D361" t="inlineStr">
        <is>
          <t>Debit</t>
        </is>
      </c>
    </row>
    <row r="362">
      <c r="A362" s="5" t="n">
        <v>45855</v>
      </c>
      <c r="B362" t="inlineStr">
        <is>
          <t>Other Deposits - Mobile Check Deposit 8912148678</t>
        </is>
      </c>
      <c r="C362" t="n">
        <v>1500</v>
      </c>
      <c r="D362" t="inlineStr">
        <is>
          <t>Credit</t>
        </is>
      </c>
    </row>
    <row r="363">
      <c r="A363" s="5" t="n">
        <v>45855</v>
      </c>
      <c r="B363" t="inlineStr">
        <is>
          <t>Other Deposits - Mobile Check Deposit 8912186795</t>
        </is>
      </c>
      <c r="C363" t="n">
        <v>817</v>
      </c>
      <c r="D363" t="inlineStr">
        <is>
          <t>Credit</t>
        </is>
      </c>
    </row>
    <row r="364">
      <c r="A364" s="5" t="n">
        <v>45855</v>
      </c>
      <c r="B364" t="inlineStr">
        <is>
          <t>Other Deposits - Mobile Check Deposit 8912740814</t>
        </is>
      </c>
      <c r="C364" t="n">
        <v>2850</v>
      </c>
      <c r="D364" t="inlineStr">
        <is>
          <t>Credit</t>
        </is>
      </c>
    </row>
    <row r="365">
      <c r="A365" s="5" t="n">
        <v>45855</v>
      </c>
      <c r="B365" t="inlineStr">
        <is>
          <t>Other Withdrawals - Electronic Withdrawal To MERCURY CARD FBT</t>
        </is>
      </c>
      <c r="C365" t="n">
        <v>500</v>
      </c>
      <c r="D365" t="inlineStr">
        <is>
          <t>Debit</t>
        </is>
      </c>
    </row>
    <row r="366">
      <c r="A366" s="5" t="n">
        <v>45856</v>
      </c>
      <c r="B366" t="inlineStr">
        <is>
          <t>Card Withdrawals - ATM Withdrawal 1291 OLD BALDWIN NEW ATHENS IL</t>
        </is>
      </c>
      <c r="C366" t="n">
        <v>303.25</v>
      </c>
      <c r="D366" t="inlineStr">
        <is>
          <t>Debit</t>
        </is>
      </c>
    </row>
    <row r="367">
      <c r="A367" s="5" t="n">
        <v>45856</v>
      </c>
      <c r="B367" t="inlineStr">
        <is>
          <t>Card Withdrawals - Debit Purchase - VISA On 071625 BELLEVILLE IL 8106128150</t>
        </is>
      </c>
      <c r="C367" t="n">
        <v>44.68</v>
      </c>
      <c r="D367" t="inlineStr">
        <is>
          <t>Debit</t>
        </is>
      </c>
    </row>
    <row r="368">
      <c r="A368" s="5" t="n">
        <v>45856</v>
      </c>
      <c r="B368" t="inlineStr">
        <is>
          <t>Card Withdrawals - Debit Purchase verifyvend855-55 PROVIDENCE RI 2007181541</t>
        </is>
      </c>
      <c r="C368" t="n">
        <v>164.37</v>
      </c>
      <c r="D368" t="inlineStr">
        <is>
          <t>Debit</t>
        </is>
      </c>
    </row>
    <row r="369">
      <c r="A369" s="5" t="n">
        <v>45856</v>
      </c>
      <c r="B369" t="inlineStr">
        <is>
          <t>Card Withdrawals - Fee ATM Withdrawal At Other Network 1800000181 $</t>
        </is>
      </c>
      <c r="C369" t="n">
        <v>3</v>
      </c>
      <c r="D369" t="inlineStr">
        <is>
          <t>Debit</t>
        </is>
      </c>
    </row>
    <row r="370">
      <c r="A370" s="5" t="n">
        <v>45856</v>
      </c>
      <c r="B370" t="inlineStr">
        <is>
          <t>Other Withdrawals - Mobile Banking Transfer To Account 152316875235</t>
        </is>
      </c>
      <c r="C370" t="n">
        <v>300</v>
      </c>
      <c r="D370" t="inlineStr">
        <is>
          <t>Debit</t>
        </is>
      </c>
    </row>
    <row r="371">
      <c r="A371" s="5" t="n">
        <v>45856</v>
      </c>
      <c r="B371" t="inlineStr">
        <is>
          <t>Other Withdrawals - Mobile Banking Transfer To Account 152316875235</t>
        </is>
      </c>
      <c r="C371" t="n">
        <v>500</v>
      </c>
      <c r="D371" t="inlineStr">
        <is>
          <t>Debit</t>
        </is>
      </c>
    </row>
    <row r="372">
      <c r="A372" s="5" t="n">
        <v>45856</v>
      </c>
      <c r="B372" t="inlineStr">
        <is>
          <t>Other Withdrawals - Zelle Instant PMT To Casey Williamson</t>
        </is>
      </c>
      <c r="C372" t="n">
        <v>850</v>
      </c>
      <c r="D372" t="inlineStr">
        <is>
          <t>Debit</t>
        </is>
      </c>
    </row>
    <row r="373">
      <c r="A373" s="5" t="n">
        <v>45859</v>
      </c>
      <c r="B373" t="inlineStr">
        <is>
          <t>Card Withdrawals - Debit Purchase MNRD-OFALLON 117 O'FALLON IL 6407211204</t>
        </is>
      </c>
      <c r="C373" t="n">
        <v>144.94</v>
      </c>
      <c r="D373" t="inlineStr">
        <is>
          <t>Debit</t>
        </is>
      </c>
    </row>
    <row r="374">
      <c r="A374" s="5" t="n">
        <v>45859</v>
      </c>
      <c r="B374" t="inlineStr">
        <is>
          <t>Other Withdrawals - Electronic Withdrawal To CATHOLIC CCU</t>
        </is>
      </c>
      <c r="C374" t="n">
        <v>572.5</v>
      </c>
      <c r="D374" t="inlineStr">
        <is>
          <t>Debit</t>
        </is>
      </c>
    </row>
    <row r="375">
      <c r="A375" s="5" t="n">
        <v>45860</v>
      </c>
      <c r="B375" t="inlineStr">
        <is>
          <t>Card Withdrawals - Debit Purchase - VISA On 072125 BELLEVILLE IL 3001099244</t>
        </is>
      </c>
      <c r="C375" t="n">
        <v>14.17</v>
      </c>
      <c r="D375" t="inlineStr">
        <is>
          <t>Debit</t>
        </is>
      </c>
    </row>
    <row r="376">
      <c r="A376" s="5" t="n">
        <v>45860</v>
      </c>
      <c r="B376" t="inlineStr">
        <is>
          <t>Card Withdrawals - Debit Purchase THE HOME DEPOT # BELLEVILLE IL 9207221619</t>
        </is>
      </c>
      <c r="C376" t="n">
        <v>267.04</v>
      </c>
      <c r="D376" t="inlineStr">
        <is>
          <t>Debit</t>
        </is>
      </c>
    </row>
    <row r="377">
      <c r="A377" s="5" t="n">
        <v>45860</v>
      </c>
      <c r="B377" t="inlineStr">
        <is>
          <t>Other Deposits - Mobile Check Deposit 8314323869</t>
        </is>
      </c>
      <c r="C377" t="n">
        <v>4187</v>
      </c>
      <c r="D377" t="inlineStr">
        <is>
          <t>Credit</t>
        </is>
      </c>
    </row>
    <row r="378">
      <c r="A378" s="5" t="n">
        <v>45861</v>
      </c>
      <c r="B378" t="inlineStr">
        <is>
          <t>Card Withdrawals - ATM Withdrawal 1291 FRANK SCOTT BELLEVILLE IL</t>
        </is>
      </c>
      <c r="C378" t="n">
        <v>203</v>
      </c>
      <c r="D378" t="inlineStr">
        <is>
          <t>Debit</t>
        </is>
      </c>
    </row>
    <row r="379">
      <c r="A379" s="5" t="n">
        <v>45861</v>
      </c>
      <c r="B379" t="inlineStr">
        <is>
          <t>Card Withdrawals - Debit Purchase - VISA On 072125 NEW ATHENS IL 3300635640</t>
        </is>
      </c>
      <c r="C379" t="n">
        <v>89.61</v>
      </c>
      <c r="D379" t="inlineStr">
        <is>
          <t>Debit</t>
        </is>
      </c>
    </row>
    <row r="380">
      <c r="A380" s="5" t="n">
        <v>45861</v>
      </c>
      <c r="B380" t="inlineStr">
        <is>
          <t>Card Withdrawals - Debit Purchase PETSMART # 1853 BELLEVILLE IL 7307231614</t>
        </is>
      </c>
      <c r="C380" t="n">
        <v>108.52</v>
      </c>
      <c r="D380" t="inlineStr">
        <is>
          <t>Debit</t>
        </is>
      </c>
    </row>
    <row r="381">
      <c r="A381" s="5" t="n">
        <v>45861</v>
      </c>
      <c r="B381" t="inlineStr">
        <is>
          <t>Card Withdrawals - Fee ATM Withdrawal At Other Network 2300000116</t>
        </is>
      </c>
      <c r="C381" t="n">
        <v>3</v>
      </c>
      <c r="D381" t="inlineStr">
        <is>
          <t>Debit</t>
        </is>
      </c>
    </row>
    <row r="382">
      <c r="A382" s="5" t="n">
        <v>45861</v>
      </c>
      <c r="B382" t="inlineStr">
        <is>
          <t>Other Deposits - Debit Purchase Return MNRD-OFAL 1179 C O'FALLON IL $</t>
        </is>
      </c>
      <c r="C382" t="n">
        <v>144.94</v>
      </c>
      <c r="D382" t="inlineStr">
        <is>
          <t>Credit</t>
        </is>
      </c>
    </row>
    <row r="383">
      <c r="A383" s="5" t="n">
        <v>45861</v>
      </c>
      <c r="B383" t="inlineStr">
        <is>
          <t>Other Deposits - Mobile Check Deposit 8613052747</t>
        </is>
      </c>
      <c r="C383" t="n">
        <v>3500</v>
      </c>
      <c r="D383" t="inlineStr">
        <is>
          <t>Credit</t>
        </is>
      </c>
    </row>
    <row r="384">
      <c r="A384" s="5" t="n">
        <v>45862</v>
      </c>
      <c r="B384" t="inlineStr">
        <is>
          <t>Card Withdrawals - Debit Purchase - VISA On 072225 FAIRVIEW HTS IL 4251637194</t>
        </is>
      </c>
      <c r="C384" t="n">
        <v>93.31999999999999</v>
      </c>
      <c r="D384" t="inlineStr">
        <is>
          <t>Debit</t>
        </is>
      </c>
    </row>
    <row r="385">
      <c r="A385" s="5" t="n">
        <v>45862</v>
      </c>
      <c r="B385" t="inlineStr">
        <is>
          <t>Card Withdrawals - Debit Purchase - VISA On 072325 FREEBURG IL 4720247935</t>
        </is>
      </c>
      <c r="C385" t="n">
        <v>4.14</v>
      </c>
      <c r="D385" t="inlineStr">
        <is>
          <t>Debit</t>
        </is>
      </c>
    </row>
    <row r="386">
      <c r="A386" s="5" t="n">
        <v>45862</v>
      </c>
      <c r="B386" t="inlineStr">
        <is>
          <t>Card Withdrawals - Debit Purchase - VISA On 072325 NEW ATHENS IL 4900017576</t>
        </is>
      </c>
      <c r="C386" t="n">
        <v>30.33</v>
      </c>
      <c r="D386" t="inlineStr">
        <is>
          <t>Debit</t>
        </is>
      </c>
    </row>
    <row r="387">
      <c r="A387" s="5" t="n">
        <v>45862</v>
      </c>
      <c r="B387" t="inlineStr">
        <is>
          <t>Card Withdrawals - Debit Purchase MPC 1022 SAINT LOUIS MO</t>
        </is>
      </c>
      <c r="C387" t="n">
        <v>70.12</v>
      </c>
      <c r="D387" t="inlineStr">
        <is>
          <t>Debit</t>
        </is>
      </c>
    </row>
    <row r="388">
      <c r="A388" s="5" t="n">
        <v>45862</v>
      </c>
      <c r="B388" t="inlineStr">
        <is>
          <t>Card Withdrawals - Debit Purchase verifyvend855-55 PROVIDENCE RI 6807241221</t>
        </is>
      </c>
      <c r="C388" t="n">
        <v>264.86</v>
      </c>
      <c r="D388" t="inlineStr">
        <is>
          <t>Debit</t>
        </is>
      </c>
    </row>
    <row r="389">
      <c r="A389" s="5" t="n">
        <v>45862</v>
      </c>
      <c r="B389" t="inlineStr">
        <is>
          <t>Other Withdrawals - Mobile Banking Payment To Credit Card *************3424</t>
        </is>
      </c>
      <c r="C389" t="n">
        <v>600</v>
      </c>
      <c r="D389" t="inlineStr">
        <is>
          <t>Debit</t>
        </is>
      </c>
    </row>
    <row r="390">
      <c r="A390" s="5" t="n">
        <v>45862</v>
      </c>
      <c r="B390" t="inlineStr">
        <is>
          <t>Other Withdrawals - Mobile Banking Transfer To Account 152316875235</t>
        </is>
      </c>
      <c r="C390" t="n">
        <v>1000</v>
      </c>
      <c r="D390" t="inlineStr">
        <is>
          <t>Debit</t>
        </is>
      </c>
    </row>
    <row r="391">
      <c r="A391" s="5" t="n">
        <v>45862</v>
      </c>
      <c r="B391" t="inlineStr">
        <is>
          <t>Other Withdrawals - Zelle Instant PMT To Casey Williamson</t>
        </is>
      </c>
      <c r="C391" t="n">
        <v>575</v>
      </c>
      <c r="D391" t="inlineStr">
        <is>
          <t>Debit</t>
        </is>
      </c>
    </row>
    <row r="392">
      <c r="A392" s="5" t="n">
        <v>45863</v>
      </c>
      <c r="B392" t="inlineStr">
        <is>
          <t>Card Withdrawals - ATM Withdrawal 1 S BELT EAST BELLEVILLE IL</t>
        </is>
      </c>
      <c r="C392" t="n">
        <v>203</v>
      </c>
      <c r="D392" t="inlineStr">
        <is>
          <t>Debit</t>
        </is>
      </c>
    </row>
    <row r="393">
      <c r="A393" s="5" t="n">
        <v>45863</v>
      </c>
      <c r="B393" t="inlineStr">
        <is>
          <t>Card Withdrawals - Debit Purchase - VISA On 072425 Freeburg IL 6103056602</t>
        </is>
      </c>
      <c r="C393" t="n">
        <v>85.62</v>
      </c>
      <c r="D393" t="inlineStr">
        <is>
          <t>Debit</t>
        </is>
      </c>
    </row>
    <row r="394">
      <c r="A394" s="5" t="n">
        <v>45863</v>
      </c>
      <c r="B394" t="inlineStr">
        <is>
          <t>Card Withdrawals - Fee ATM Withdrawal At Other Network 2500000157</t>
        </is>
      </c>
      <c r="C394" t="n">
        <v>3</v>
      </c>
      <c r="D394" t="inlineStr">
        <is>
          <t>Debit</t>
        </is>
      </c>
    </row>
    <row r="395">
      <c r="A395" s="5" t="n">
        <v>45863</v>
      </c>
      <c r="B395" t="inlineStr">
        <is>
          <t>Card Withdrawals - Recurring Debit Purchase On 072425 800-288-2020 TX 5102916282</t>
        </is>
      </c>
      <c r="C395" t="n">
        <v>61</v>
      </c>
      <c r="D395" t="inlineStr">
        <is>
          <t>Debit</t>
        </is>
      </c>
    </row>
    <row r="396">
      <c r="A396" s="5" t="n">
        <v>45863</v>
      </c>
      <c r="B396" t="inlineStr">
        <is>
          <t>Other Deposits - Mobile Check Deposit 9212618595</t>
        </is>
      </c>
      <c r="C396" t="n">
        <v>200</v>
      </c>
      <c r="D396" t="inlineStr">
        <is>
          <t>Credit</t>
        </is>
      </c>
    </row>
    <row r="397">
      <c r="A397" s="5" t="n">
        <v>45863</v>
      </c>
      <c r="B397" t="inlineStr">
        <is>
          <t>Other Withdrawals - ATM Fee Balance Inquiry At Other Network 2500000001</t>
        </is>
      </c>
      <c r="C397" t="n">
        <v>3</v>
      </c>
      <c r="D397" t="inlineStr">
        <is>
          <t>Debit</t>
        </is>
      </c>
    </row>
    <row r="398">
      <c r="A398" s="5" t="n">
        <v>45863</v>
      </c>
      <c r="B398" t="inlineStr">
        <is>
          <t>Other Withdrawals - Electronic Withdrawal To DISCOVER</t>
        </is>
      </c>
      <c r="C398" t="n">
        <v>1000</v>
      </c>
      <c r="D398" t="inlineStr">
        <is>
          <t>Debit</t>
        </is>
      </c>
    </row>
    <row r="399">
      <c r="A399" s="5" t="n">
        <v>45863</v>
      </c>
      <c r="B399" t="inlineStr">
        <is>
          <t>Other Withdrawals - Electronic Withdrawal To MERCURY CARD FBT</t>
        </is>
      </c>
      <c r="C399" t="n">
        <v>1000</v>
      </c>
      <c r="D399" t="inlineStr">
        <is>
          <t>Debit</t>
        </is>
      </c>
    </row>
    <row r="400">
      <c r="A400" s="5" t="n">
        <v>45863</v>
      </c>
      <c r="B400" t="inlineStr">
        <is>
          <t>Other Withdrawals - Mobile Banking Transfer To Account 152316875235</t>
        </is>
      </c>
      <c r="C400" t="n">
        <v>400</v>
      </c>
      <c r="D400" t="inlineStr">
        <is>
          <t>Debit</t>
        </is>
      </c>
    </row>
    <row r="401">
      <c r="A401" s="5" t="n">
        <v>45863</v>
      </c>
      <c r="B401" t="inlineStr">
        <is>
          <t>Other Withdrawals - Zelle Instant PMT To Brian Davis</t>
        </is>
      </c>
      <c r="C401" t="n">
        <v>350</v>
      </c>
      <c r="D401" t="inlineStr">
        <is>
          <t>Debit</t>
        </is>
      </c>
    </row>
    <row r="402">
      <c r="A402" s="5" t="n">
        <v>45863</v>
      </c>
      <c r="B402" t="inlineStr">
        <is>
          <t>Other Withdrawals - Zelle Instant PMT To Brian Davis</t>
        </is>
      </c>
      <c r="C402" t="n">
        <v>1050</v>
      </c>
      <c r="D402" t="inlineStr">
        <is>
          <t>Debit</t>
        </is>
      </c>
    </row>
    <row r="403">
      <c r="A403" s="5" t="n">
        <v>45863</v>
      </c>
      <c r="B403" t="inlineStr">
        <is>
          <t>Other Withdrawals - Zelle Instant PMT To Casey Williamson</t>
        </is>
      </c>
      <c r="C403" t="n">
        <v>100</v>
      </c>
      <c r="D403" t="inlineStr">
        <is>
          <t>Debit</t>
        </is>
      </c>
    </row>
    <row r="404">
      <c r="A404" s="5" t="n">
        <v>45866</v>
      </c>
      <c r="B404" t="inlineStr">
        <is>
          <t>Card Withdrawals - Recurring Debit Purchase On 072525 888-270-2644 IN 6103868862</t>
        </is>
      </c>
      <c r="C404" t="n">
        <v>817.5</v>
      </c>
      <c r="D404" t="inlineStr">
        <is>
          <t>Debit</t>
        </is>
      </c>
    </row>
    <row r="405">
      <c r="A405" s="5" t="n">
        <v>45866</v>
      </c>
      <c r="B405" t="inlineStr">
        <is>
          <t>Other Deposits - Mobile Check Deposit 8012982365</t>
        </is>
      </c>
      <c r="C405" t="n">
        <v>4000</v>
      </c>
      <c r="D405" t="inlineStr">
        <is>
          <t>Credit</t>
        </is>
      </c>
    </row>
    <row r="406">
      <c r="A406" s="5" t="n">
        <v>45866</v>
      </c>
      <c r="B406" t="inlineStr">
        <is>
          <t>Other Withdrawals - Mobile Banking Transfer To Account 152316875235</t>
        </is>
      </c>
      <c r="C406" t="n">
        <v>300</v>
      </c>
      <c r="D406" t="inlineStr">
        <is>
          <t>Debit</t>
        </is>
      </c>
    </row>
    <row r="407">
      <c r="A407" s="5" t="n">
        <v>45869</v>
      </c>
      <c r="B407" t="inlineStr">
        <is>
          <t>Card Withdrawals - Debit Purchase CIRCLE K # 01359 TROY IL</t>
        </is>
      </c>
      <c r="C407" t="n">
        <v>96.42</v>
      </c>
      <c r="D407" t="inlineStr">
        <is>
          <t>Debit</t>
        </is>
      </c>
    </row>
    <row r="408">
      <c r="A408" s="5" t="n">
        <v>45869</v>
      </c>
      <c r="B408" t="inlineStr">
        <is>
          <t>Card Withdrawals - Recurring Debit Purchase On 073025 800-956-6310 IL 1256471239</t>
        </is>
      </c>
      <c r="C408" t="n">
        <v>294.97</v>
      </c>
      <c r="D408" t="inlineStr">
        <is>
          <t>Debit</t>
        </is>
      </c>
    </row>
    <row r="409">
      <c r="A409" s="5" t="n">
        <v>45869</v>
      </c>
      <c r="B409" t="inlineStr">
        <is>
          <t>Other Deposits - Mobile Check Deposit 8913502382</t>
        </is>
      </c>
      <c r="C409" t="n">
        <v>4250</v>
      </c>
      <c r="D409" t="inlineStr">
        <is>
          <t>Credit</t>
        </is>
      </c>
    </row>
    <row r="410">
      <c r="A410" s="5" t="n">
        <v>45870</v>
      </c>
      <c r="B410" t="inlineStr">
        <is>
          <t>Card Withdrawals - Debit Purchase - VISA On 073025 COULTERVILLE IL 2900012719 $</t>
        </is>
      </c>
      <c r="C410" t="n">
        <v>65.69</v>
      </c>
      <c r="D410" t="inlineStr">
        <is>
          <t>Debit</t>
        </is>
      </c>
    </row>
    <row r="411">
      <c r="A411" s="5" t="n">
        <v>45870</v>
      </c>
      <c r="B411" t="inlineStr">
        <is>
          <t>Other Withdrawals - Mobile Banking Transfer To Account 152316875235</t>
        </is>
      </c>
      <c r="C411" t="n">
        <v>699</v>
      </c>
      <c r="D411" t="inlineStr">
        <is>
          <t>Debit</t>
        </is>
      </c>
    </row>
    <row r="412">
      <c r="A412" s="5" t="n">
        <v>45870</v>
      </c>
      <c r="B412" t="inlineStr">
        <is>
          <t>Other Withdrawals - Mobile Banking Transfer To Account 152316875235 $</t>
        </is>
      </c>
      <c r="C412" t="n">
        <v>200</v>
      </c>
      <c r="D412" t="inlineStr">
        <is>
          <t>Debit</t>
        </is>
      </c>
    </row>
    <row r="413">
      <c r="A413" s="5" t="n">
        <v>45870</v>
      </c>
      <c r="B413" t="inlineStr">
        <is>
          <t>Other Withdrawals - Zelle Instant PMT To Brian Davis</t>
        </is>
      </c>
      <c r="C413" t="n">
        <v>1120</v>
      </c>
      <c r="D413" t="inlineStr">
        <is>
          <t>Debit</t>
        </is>
      </c>
    </row>
    <row r="414">
      <c r="A414" s="5" t="n">
        <v>45870</v>
      </c>
      <c r="B414" t="inlineStr">
        <is>
          <t>Other Withdrawals - Zelle Instant PMT To Casey Williamson</t>
        </is>
      </c>
      <c r="C414" t="n">
        <v>800</v>
      </c>
      <c r="D414" t="inlineStr">
        <is>
          <t>Debit</t>
        </is>
      </c>
    </row>
    <row r="415">
      <c r="A415" s="5" t="n">
        <v>45873</v>
      </c>
      <c r="B415" t="inlineStr">
        <is>
          <t>Card Withdrawals - Debit Purchase - VISA On 080125 618-2354091 IL 4000294950</t>
        </is>
      </c>
      <c r="C415" t="n">
        <v>120.7</v>
      </c>
      <c r="D415" t="inlineStr">
        <is>
          <t>Debit</t>
        </is>
      </c>
    </row>
    <row r="416">
      <c r="A416" s="5" t="n">
        <v>45873</v>
      </c>
      <c r="B416" t="inlineStr">
        <is>
          <t>Other Deposits - Debit Purchase Ret - VISA On 080325 BELLEVILLE IL 4000294950 $</t>
        </is>
      </c>
      <c r="C416" t="n">
        <v>58</v>
      </c>
      <c r="D416" t="inlineStr">
        <is>
          <t>Credit</t>
        </is>
      </c>
    </row>
    <row r="417">
      <c r="A417" s="5" t="n">
        <v>45874</v>
      </c>
      <c r="B417" t="inlineStr">
        <is>
          <t>Other Withdrawals - 14,771.36 Aug11 15,578.71 Aug15</t>
        </is>
      </c>
      <c r="C417" t="n">
        <v>16942.69</v>
      </c>
      <c r="D417" t="inlineStr">
        <is>
          <t>Credit</t>
        </is>
      </c>
    </row>
    <row r="418">
      <c r="A418" s="5" t="n">
        <v>45874</v>
      </c>
      <c r="B418" t="inlineStr">
        <is>
          <t>Other Withdrawals - Electronic Withdrawal To Credit One Bank</t>
        </is>
      </c>
      <c r="C418" t="n">
        <v>557.3200000000001</v>
      </c>
      <c r="D418" t="inlineStr">
        <is>
          <t>Debit</t>
        </is>
      </c>
    </row>
    <row r="419">
      <c r="A419" s="5" t="n">
        <v>45874</v>
      </c>
      <c r="B419" t="inlineStr">
        <is>
          <t>Other Withdrawals - Electronic Withdrawal To Credit One Bank</t>
        </is>
      </c>
      <c r="C419" t="n">
        <v>560.1900000000001</v>
      </c>
      <c r="D419" t="inlineStr">
        <is>
          <t>Debit</t>
        </is>
      </c>
    </row>
    <row r="420">
      <c r="A420" s="5" t="n">
        <v>45874</v>
      </c>
      <c r="B420" t="inlineStr">
        <is>
          <t>Other Withdrawals - Electronic Withdrawal To MERCURY CARD FBT</t>
        </is>
      </c>
      <c r="C420" t="n">
        <v>500</v>
      </c>
      <c r="D420" t="inlineStr">
        <is>
          <t>Debit</t>
        </is>
      </c>
    </row>
    <row r="421">
      <c r="A421" s="5" t="n">
        <v>45874</v>
      </c>
      <c r="B421" t="inlineStr">
        <is>
          <t>Other Withdrawals - Electronic Withdrawal To MISSION LANE</t>
        </is>
      </c>
      <c r="C421" t="n">
        <v>500</v>
      </c>
      <c r="D421" t="inlineStr">
        <is>
          <t>Debit</t>
        </is>
      </c>
    </row>
    <row r="422">
      <c r="A422" s="5" t="n">
        <v>45875</v>
      </c>
      <c r="B422" t="inlineStr">
        <is>
          <t>Card Withdrawals - Debit Purchase verifyvend855-55 PROVIDENCE RI 1708051717</t>
        </is>
      </c>
      <c r="C422" t="n">
        <v>85.2</v>
      </c>
      <c r="D422" t="inlineStr">
        <is>
          <t>Debit</t>
        </is>
      </c>
    </row>
    <row r="423">
      <c r="A423" s="5" t="n">
        <v>45875</v>
      </c>
      <c r="B423" t="inlineStr">
        <is>
          <t>Other Deposits - Mobile Check Deposit 8612507654</t>
        </is>
      </c>
      <c r="C423" t="n">
        <v>3619</v>
      </c>
      <c r="D423" t="inlineStr">
        <is>
          <t>Credit</t>
        </is>
      </c>
    </row>
    <row r="424">
      <c r="A424" s="5" t="n">
        <v>45875</v>
      </c>
      <c r="B424" t="inlineStr">
        <is>
          <t>Other Withdrawals - 18,305.16 Aug12 17,603.21 Aug19</t>
        </is>
      </c>
      <c r="C424" t="n">
        <v>15992.69</v>
      </c>
      <c r="D424" t="inlineStr">
        <is>
          <t>Credit</t>
        </is>
      </c>
    </row>
    <row r="425">
      <c r="A425" s="5" t="n">
        <v>45876</v>
      </c>
      <c r="B425" t="inlineStr">
        <is>
          <t>Card Withdrawals - Debit Purchase - VISA On 080625 O FALLON IL 9434201100</t>
        </is>
      </c>
      <c r="C425" t="n">
        <v>132.62</v>
      </c>
      <c r="D425" t="inlineStr">
        <is>
          <t>Debit</t>
        </is>
      </c>
    </row>
    <row r="426">
      <c r="A426" s="5" t="n">
        <v>45876</v>
      </c>
      <c r="B426" t="inlineStr">
        <is>
          <t>Other Withdrawals - Mobile Banking Payment To Credit Card *************3424</t>
        </is>
      </c>
      <c r="C426" t="n">
        <v>1000</v>
      </c>
      <c r="D426" t="inlineStr">
        <is>
          <t>Debit</t>
        </is>
      </c>
    </row>
    <row r="427">
      <c r="A427" s="5" t="n">
        <v>45876</v>
      </c>
      <c r="B427" t="inlineStr">
        <is>
          <t>Other Withdrawals - Mobile Banking Payment To Credit Card *************6452</t>
        </is>
      </c>
      <c r="C427" t="n">
        <v>344.98</v>
      </c>
      <c r="D427" t="inlineStr">
        <is>
          <t>Debit</t>
        </is>
      </c>
    </row>
    <row r="428">
      <c r="A428" s="5" t="n">
        <v>45876</v>
      </c>
      <c r="B428" t="inlineStr">
        <is>
          <t>Other Withdrawals - Mobile Banking Payment To Credit Card *************9563</t>
        </is>
      </c>
      <c r="C428" t="n">
        <v>337.63</v>
      </c>
      <c r="D428" t="inlineStr">
        <is>
          <t>Debit</t>
        </is>
      </c>
    </row>
    <row r="429">
      <c r="A429" s="5" t="n">
        <v>45876</v>
      </c>
      <c r="B429" t="inlineStr">
        <is>
          <t>Other Withdrawals - Mobile Banking Transfer To Account 152316874980</t>
        </is>
      </c>
      <c r="C429" t="n">
        <v>50</v>
      </c>
      <c r="D429" t="inlineStr">
        <is>
          <t>Debit</t>
        </is>
      </c>
    </row>
    <row r="430">
      <c r="A430" s="5" t="n">
        <v>45876</v>
      </c>
      <c r="B430" t="inlineStr">
        <is>
          <t>Other Withdrawals - Zelle Instant PMT To Nadia Session</t>
        </is>
      </c>
      <c r="C430" t="n">
        <v>487</v>
      </c>
      <c r="D430" t="inlineStr">
        <is>
          <t>Debit</t>
        </is>
      </c>
    </row>
    <row r="431">
      <c r="A431" s="5" t="n">
        <v>45877</v>
      </c>
      <c r="B431" t="inlineStr">
        <is>
          <t>Other Deposits - Mobile Check Deposit 9212765842</t>
        </is>
      </c>
      <c r="C431" t="n">
        <v>3500</v>
      </c>
      <c r="D431" t="inlineStr">
        <is>
          <t>Credit</t>
        </is>
      </c>
    </row>
    <row r="432">
      <c r="A432" s="5" t="n">
        <v>45877</v>
      </c>
      <c r="B432" t="inlineStr">
        <is>
          <t>Other Withdrawals - Electronic Withdrawal To MISSION LANE</t>
        </is>
      </c>
      <c r="C432" t="n">
        <v>500</v>
      </c>
      <c r="D432" t="inlineStr">
        <is>
          <t>Debit</t>
        </is>
      </c>
    </row>
    <row r="433">
      <c r="A433" s="5" t="n">
        <v>45877</v>
      </c>
      <c r="B433" t="inlineStr">
        <is>
          <t>Other Withdrawals - Mobile Banking Transfer To Account 152316875235</t>
        </is>
      </c>
      <c r="C433" t="n">
        <v>500</v>
      </c>
      <c r="D433" t="inlineStr">
        <is>
          <t>Debit</t>
        </is>
      </c>
    </row>
    <row r="434">
      <c r="A434" s="5" t="n">
        <v>45877</v>
      </c>
      <c r="B434" t="inlineStr">
        <is>
          <t>Other Withdrawals - Zelle Instant PMT To Brian Davis</t>
        </is>
      </c>
      <c r="C434" t="n">
        <v>48.02</v>
      </c>
      <c r="D434" t="inlineStr">
        <is>
          <t>Debit</t>
        </is>
      </c>
    </row>
    <row r="435">
      <c r="A435" s="5" t="n">
        <v>45877</v>
      </c>
      <c r="B435" t="inlineStr">
        <is>
          <t>Other Withdrawals - Zelle Instant PMT To Brian Davis</t>
        </is>
      </c>
      <c r="C435" t="n">
        <v>165</v>
      </c>
      <c r="D435" t="inlineStr">
        <is>
          <t>Debit</t>
        </is>
      </c>
    </row>
    <row r="436">
      <c r="A436" s="5" t="n">
        <v>45877</v>
      </c>
      <c r="B436" t="inlineStr">
        <is>
          <t>Other Withdrawals - Zelle Instant PMT To Casey Williamson</t>
        </is>
      </c>
      <c r="C436" t="n">
        <v>525</v>
      </c>
      <c r="D436" t="inlineStr">
        <is>
          <t>Debit</t>
        </is>
      </c>
    </row>
    <row r="437">
      <c r="A437" s="5" t="n">
        <v>45902</v>
      </c>
      <c r="B437" t="inlineStr">
        <is>
          <t>Other Withdrawals - Electronic Withdrawal To STATE FARM BILLG</t>
        </is>
      </c>
      <c r="C437" t="n">
        <v>294.97</v>
      </c>
      <c r="D437" t="inlineStr">
        <is>
          <t>Debit</t>
        </is>
      </c>
    </row>
    <row r="438">
      <c r="A438" s="5" t="n">
        <v>45902</v>
      </c>
      <c r="B438" t="inlineStr">
        <is>
          <t>Other Withdrawals - Mobile Banking Transfer To Account 152316875235 $</t>
        </is>
      </c>
      <c r="C438" t="n">
        <v>200</v>
      </c>
      <c r="D438" t="inlineStr">
        <is>
          <t>Debit</t>
        </is>
      </c>
    </row>
    <row r="439">
      <c r="A439" s="5" t="n">
        <v>45903</v>
      </c>
      <c r="B439" t="inlineStr">
        <is>
          <t>Other Withdrawals - Electronic Withdrawal To DISCOVER</t>
        </is>
      </c>
      <c r="C439" t="n">
        <v>138.86</v>
      </c>
      <c r="D439" t="inlineStr">
        <is>
          <t>Debit</t>
        </is>
      </c>
    </row>
    <row r="440">
      <c r="A440" s="5" t="n">
        <v>45904</v>
      </c>
      <c r="B440" t="inlineStr">
        <is>
          <t>Other Withdrawals - Mobile Banking Payment To Credit Card *************3424</t>
        </is>
      </c>
      <c r="C440" t="n">
        <v>50</v>
      </c>
      <c r="D440" t="inlineStr">
        <is>
          <t>Debit</t>
        </is>
      </c>
    </row>
    <row r="441">
      <c r="A441" s="5" t="n">
        <v>45904</v>
      </c>
      <c r="B441" t="inlineStr">
        <is>
          <t>Other Withdrawals - Mobile Banking Payment To Credit Card *************3424</t>
        </is>
      </c>
      <c r="C441" t="n">
        <v>100</v>
      </c>
      <c r="D441" t="inlineStr">
        <is>
          <t>Debit</t>
        </is>
      </c>
    </row>
    <row r="442">
      <c r="A442" s="5" t="n">
        <v>45904</v>
      </c>
      <c r="B442" t="inlineStr">
        <is>
          <t>Other Withdrawals - Mobile Banking Payment To Credit Card *************3424</t>
        </is>
      </c>
      <c r="C442" t="n">
        <v>250</v>
      </c>
      <c r="D442" t="inlineStr">
        <is>
          <t>Debit</t>
        </is>
      </c>
    </row>
    <row r="443">
      <c r="A443" s="5" t="n">
        <v>45904</v>
      </c>
      <c r="B443" t="inlineStr">
        <is>
          <t>Other Withdrawals - Mobile Banking Payment To Credit Card *************6452</t>
        </is>
      </c>
      <c r="C443" t="n">
        <v>1286.16</v>
      </c>
      <c r="D443" t="inlineStr">
        <is>
          <t>Debit</t>
        </is>
      </c>
    </row>
    <row r="444">
      <c r="A444" s="5" t="n">
        <v>45904</v>
      </c>
      <c r="B444" t="inlineStr">
        <is>
          <t>Other Withdrawals - Mobile Banking Transfer To Account 152316875235</t>
        </is>
      </c>
      <c r="C444" t="n">
        <v>5000</v>
      </c>
      <c r="D444" t="inlineStr">
        <is>
          <t>Debit</t>
        </is>
      </c>
    </row>
    <row r="445">
      <c r="A445" s="5" t="n">
        <v>45905</v>
      </c>
      <c r="B445" t="inlineStr">
        <is>
          <t>Other Withdrawals - 16,934.15 Sep15 17,999.23 Sep24</t>
        </is>
      </c>
      <c r="C445" t="n">
        <v>12887.54</v>
      </c>
      <c r="D445" t="inlineStr">
        <is>
          <t>Credit</t>
        </is>
      </c>
    </row>
    <row r="446">
      <c r="A446" s="5" t="n">
        <v>45905</v>
      </c>
      <c r="B446" t="inlineStr">
        <is>
          <t>Other Withdrawals - Electronic Withdrawal To DISCOVER</t>
        </is>
      </c>
      <c r="C446" t="n">
        <v>100</v>
      </c>
      <c r="D446" t="inlineStr">
        <is>
          <t>Debit</t>
        </is>
      </c>
    </row>
    <row r="447">
      <c r="A447" s="5" t="n">
        <v>45905</v>
      </c>
      <c r="B447" t="inlineStr">
        <is>
          <t>Other Withdrawals - Electronic Withdrawal To MERCURY CARD FBT</t>
        </is>
      </c>
      <c r="C447" t="n">
        <v>500</v>
      </c>
      <c r="D447" t="inlineStr">
        <is>
          <t>Debit</t>
        </is>
      </c>
    </row>
    <row r="448">
      <c r="A448" s="5" t="n">
        <v>45905</v>
      </c>
      <c r="B448" t="inlineStr">
        <is>
          <t>Other Withdrawals - Zelle Instant PMT To Brian Davis</t>
        </is>
      </c>
      <c r="C448" t="n">
        <v>1400</v>
      </c>
      <c r="D448" t="inlineStr">
        <is>
          <t>Debit</t>
        </is>
      </c>
    </row>
    <row r="449">
      <c r="A449" s="5" t="n">
        <v>45908</v>
      </c>
      <c r="B449" t="inlineStr">
        <is>
          <t>Other Withdrawals - 16,108.15 Sep17 14,627.54 Sep25</t>
        </is>
      </c>
      <c r="C449" t="n">
        <v>12672.54</v>
      </c>
      <c r="D449" t="inlineStr">
        <is>
          <t>Credit</t>
        </is>
      </c>
    </row>
    <row r="450">
      <c r="A450" s="5" t="n">
        <v>45908</v>
      </c>
      <c r="B450" t="inlineStr">
        <is>
          <t>Other Withdrawals - Zelle Instant PMT To Nadia Session</t>
        </is>
      </c>
      <c r="C450" t="n">
        <v>100</v>
      </c>
      <c r="D450" t="inlineStr">
        <is>
          <t>Debit</t>
        </is>
      </c>
    </row>
    <row r="451">
      <c r="A451" s="5" t="n">
        <v>45908</v>
      </c>
      <c r="B451" t="inlineStr">
        <is>
          <t>Other Withdrawals - Zelle Instant PMT To Nadia Session</t>
        </is>
      </c>
      <c r="C451" t="n">
        <v>487</v>
      </c>
      <c r="D451" t="inlineStr">
        <is>
          <t>Debit</t>
        </is>
      </c>
    </row>
    <row r="452">
      <c r="A452" s="5" t="n">
        <v>45908</v>
      </c>
      <c r="B452" t="inlineStr">
        <is>
          <t>Other Withdrawals - Zelle Instant PMT To Tabitha Session</t>
        </is>
      </c>
      <c r="C452" t="n">
        <v>239</v>
      </c>
      <c r="D452" t="inlineStr">
        <is>
          <t>Debit</t>
        </is>
      </c>
    </row>
    <row r="453">
      <c r="A453" s="5" t="n">
        <v>45909</v>
      </c>
      <c r="B453" t="inlineStr">
        <is>
          <t>Other Withdrawals - 14,565.69 Sep19 13,537.54 Sep26</t>
        </is>
      </c>
      <c r="C453" t="n">
        <v>13006.1</v>
      </c>
      <c r="D453" t="inlineStr">
        <is>
          <t>Credit</t>
        </is>
      </c>
    </row>
    <row r="454">
      <c r="A454" s="5" t="n">
        <v>45909</v>
      </c>
      <c r="B454" t="inlineStr">
        <is>
          <t>Other Withdrawals - Electronic Withdrawal To CEFCU TEL DEBIT</t>
        </is>
      </c>
      <c r="C454" t="n">
        <v>1042.46</v>
      </c>
      <c r="D454" t="inlineStr">
        <is>
          <t>Debit</t>
        </is>
      </c>
    </row>
    <row r="455">
      <c r="A455" s="5" t="n">
        <v>45909</v>
      </c>
      <c r="B455" t="inlineStr">
        <is>
          <t>Other Withdrawals - Electronic Withdrawal To MERCURY CARD FBT</t>
        </is>
      </c>
      <c r="C455" t="n">
        <v>500</v>
      </c>
      <c r="D455" t="inlineStr">
        <is>
          <t>Debit</t>
        </is>
      </c>
    </row>
    <row r="456">
      <c r="A456" s="5" t="n">
        <v>45931</v>
      </c>
      <c r="B456" t="inlineStr">
        <is>
          <t>Card Withdrawals - Debit Purchase TRACTOR SUPPLY # BELLEVILLE IL 6809301853 $</t>
        </is>
      </c>
      <c r="C456" t="n">
        <v>139.93</v>
      </c>
      <c r="D456" t="inlineStr">
        <is>
          <t>Debit</t>
        </is>
      </c>
    </row>
    <row r="457">
      <c r="A457" s="5" t="n">
        <v>45931</v>
      </c>
      <c r="B457" t="inlineStr">
        <is>
          <t>Other Withdrawals - Electronic Withdrawal To STATE FARM RO 27 $</t>
        </is>
      </c>
      <c r="C457" t="n">
        <v>294.97</v>
      </c>
      <c r="D457" t="inlineStr">
        <is>
          <t>Debit</t>
        </is>
      </c>
    </row>
    <row r="458">
      <c r="A458" s="5" t="n">
        <v>45931</v>
      </c>
      <c r="B458" t="inlineStr">
        <is>
          <t>Other Withdrawals - Mobile Banking Transfer To Account 152316875235</t>
        </is>
      </c>
      <c r="C458" t="n">
        <v>435</v>
      </c>
      <c r="D458" t="inlineStr">
        <is>
          <t>Debit</t>
        </is>
      </c>
    </row>
    <row r="459">
      <c r="A459" s="5" t="n">
        <v>45932</v>
      </c>
      <c r="B459" t="inlineStr">
        <is>
          <t>Card Withdrawals - Debit Purchase - VISA On 100125 LITCHFIELD IL 5000029406</t>
        </is>
      </c>
      <c r="C459" t="n">
        <v>7.78</v>
      </c>
      <c r="D459" t="inlineStr">
        <is>
          <t>Debit</t>
        </is>
      </c>
    </row>
    <row r="460">
      <c r="A460" s="5" t="n">
        <v>45932</v>
      </c>
      <c r="B460" t="inlineStr">
        <is>
          <t>Other Deposits - Mobile Banking Transfer From Account 152316874980</t>
        </is>
      </c>
      <c r="C460" t="n">
        <v>11000</v>
      </c>
      <c r="D460" t="inlineStr">
        <is>
          <t>Credit</t>
        </is>
      </c>
    </row>
    <row r="461">
      <c r="A461" s="5" t="n">
        <v>45932</v>
      </c>
      <c r="B461" t="inlineStr">
        <is>
          <t>Other Deposits - Real Time Payment Credit From VENMO $</t>
        </is>
      </c>
      <c r="C461" t="n">
        <v>3652</v>
      </c>
      <c r="D461" t="inlineStr">
        <is>
          <t>Credit</t>
        </is>
      </c>
    </row>
    <row r="462">
      <c r="A462" s="5" t="n">
        <v>45932</v>
      </c>
      <c r="B462" t="inlineStr">
        <is>
          <t>Other Withdrawals - Mobile Banking Payment To Credit Card *************3424</t>
        </is>
      </c>
      <c r="C462" t="n">
        <v>1500</v>
      </c>
      <c r="D462" t="inlineStr">
        <is>
          <t>Debit</t>
        </is>
      </c>
    </row>
    <row r="463">
      <c r="A463" s="5" t="n">
        <v>45932</v>
      </c>
      <c r="B463" t="inlineStr">
        <is>
          <t>Other Withdrawals - Mobile Banking Payment To Credit Card *************6452</t>
        </is>
      </c>
      <c r="C463" t="n">
        <v>1262.46</v>
      </c>
      <c r="D463" t="inlineStr">
        <is>
          <t>Debit</t>
        </is>
      </c>
    </row>
    <row r="464">
      <c r="A464" s="5" t="n">
        <v>45932</v>
      </c>
      <c r="B464" t="inlineStr">
        <is>
          <t>Other Withdrawals - Mobile Banking Payment To Credit Card *************9563</t>
        </is>
      </c>
      <c r="C464" t="n">
        <v>190.06</v>
      </c>
      <c r="D464" t="inlineStr">
        <is>
          <t>Debit</t>
        </is>
      </c>
    </row>
    <row r="465">
      <c r="A465" s="5" t="n">
        <v>45932</v>
      </c>
      <c r="B465" t="inlineStr">
        <is>
          <t>Other Withdrawals - Mobile Banking Transfer To Account 152316875235</t>
        </is>
      </c>
      <c r="C465" t="n">
        <v>320</v>
      </c>
      <c r="D465" t="inlineStr">
        <is>
          <t>Debit</t>
        </is>
      </c>
    </row>
    <row r="466">
      <c r="A466" s="5" t="n">
        <v>45933</v>
      </c>
      <c r="B466" t="inlineStr">
        <is>
          <t>Card Withdrawals - Debit Purchase - VISA On 100125 Springfield IL 5100512526</t>
        </is>
      </c>
      <c r="C466" t="n">
        <v>148.31</v>
      </c>
      <c r="D466" t="inlineStr">
        <is>
          <t>Debit</t>
        </is>
      </c>
    </row>
    <row r="467">
      <c r="A467" s="5" t="n">
        <v>45933</v>
      </c>
      <c r="B467" t="inlineStr">
        <is>
          <t>Other Withdrawals - Electronic Withdrawal To DISCOVER</t>
        </is>
      </c>
      <c r="C467" t="n">
        <v>162.61</v>
      </c>
      <c r="D467" t="inlineStr">
        <is>
          <t>Debit</t>
        </is>
      </c>
    </row>
    <row r="468">
      <c r="A468" s="5" t="n">
        <v>45933</v>
      </c>
      <c r="B468" t="inlineStr">
        <is>
          <t>Other Withdrawals - Electronic Withdrawal To DISCOVER</t>
        </is>
      </c>
      <c r="C468" t="n">
        <v>2000</v>
      </c>
      <c r="D468" t="inlineStr">
        <is>
          <t>Debit</t>
        </is>
      </c>
    </row>
    <row r="469">
      <c r="A469" s="5" t="n">
        <v>45933</v>
      </c>
      <c r="B469" t="inlineStr">
        <is>
          <t>Other Withdrawals - Electronic Withdrawal To MERCURY CARD FBT</t>
        </is>
      </c>
      <c r="C469" t="n">
        <v>1253.17</v>
      </c>
      <c r="D469" t="inlineStr">
        <is>
          <t>Debit</t>
        </is>
      </c>
    </row>
    <row r="470">
      <c r="A470" s="5" t="n">
        <v>45933</v>
      </c>
      <c r="B470" t="inlineStr">
        <is>
          <t>Other Withdrawals - Zelle Instant PMT To Brian Davis</t>
        </is>
      </c>
      <c r="C470" t="n">
        <v>1050</v>
      </c>
      <c r="D470" t="inlineStr">
        <is>
          <t>Debit</t>
        </is>
      </c>
    </row>
    <row r="471">
      <c r="A471" s="5" t="n">
        <v>45933</v>
      </c>
      <c r="B471" t="inlineStr">
        <is>
          <t>Other Withdrawals - Zelle Instant PMT To Casey Williamson</t>
        </is>
      </c>
      <c r="C471" t="n">
        <v>400</v>
      </c>
      <c r="D471" t="inlineStr">
        <is>
          <t>Debit</t>
        </is>
      </c>
    </row>
    <row r="472">
      <c r="A472" s="5" t="n">
        <v>45936</v>
      </c>
      <c r="B472" t="inlineStr">
        <is>
          <t>Card Withdrawals - Debit Purchase - VISA On 100325 COLLINSVILLE IL 7501435857</t>
        </is>
      </c>
      <c r="C472" t="n">
        <v>242.02</v>
      </c>
      <c r="D472" t="inlineStr">
        <is>
          <t>Debit</t>
        </is>
      </c>
    </row>
    <row r="473">
      <c r="A473" s="5" t="n">
        <v>45936</v>
      </c>
      <c r="B473" t="inlineStr">
        <is>
          <t>Other Withdrawals - Electronic Withdrawal To CEFCU TEL DEBIT</t>
        </is>
      </c>
      <c r="C473" t="n">
        <v>1042.46</v>
      </c>
      <c r="D473" t="inlineStr">
        <is>
          <t>Debit</t>
        </is>
      </c>
    </row>
    <row r="474">
      <c r="A474" s="5" t="n">
        <v>45937</v>
      </c>
      <c r="B474" t="inlineStr">
        <is>
          <t>Other Withdrawals - Mobile Banking Transfer To Account 152316874980</t>
        </is>
      </c>
      <c r="C474" t="n">
        <v>25</v>
      </c>
      <c r="D474" t="inlineStr">
        <is>
          <t>Debit</t>
        </is>
      </c>
    </row>
    <row r="475">
      <c r="A475" s="5" t="n">
        <v>45937</v>
      </c>
      <c r="B475" t="inlineStr">
        <is>
          <t>Other Withdrawals - Mobile Banking Transfer To Account 152316875235</t>
        </is>
      </c>
      <c r="C475" t="n">
        <v>250</v>
      </c>
      <c r="D475" t="inlineStr">
        <is>
          <t>Debit</t>
        </is>
      </c>
    </row>
    <row r="476">
      <c r="A476" s="5" t="n">
        <v>45938</v>
      </c>
      <c r="B476" t="inlineStr">
        <is>
          <t>Other Withdrawals - Zelle Instant PMT To Tabitha Session</t>
        </is>
      </c>
      <c r="C476" t="n">
        <v>240</v>
      </c>
      <c r="D476" t="inlineStr">
        <is>
          <t>Debit</t>
        </is>
      </c>
    </row>
    <row r="477">
      <c r="A477" s="5" t="n">
        <v>45940</v>
      </c>
      <c r="B477" t="inlineStr">
        <is>
          <t>Other Withdrawals - Mobile Banking Transfer To Account 152316875235</t>
        </is>
      </c>
      <c r="C477" t="n">
        <v>400</v>
      </c>
      <c r="D477" t="inlineStr">
        <is>
          <t>Debit</t>
        </is>
      </c>
    </row>
    <row r="478">
      <c r="A478" s="5" t="n">
        <v>45940</v>
      </c>
      <c r="B478" t="inlineStr">
        <is>
          <t>Other Withdrawals - Zelle Instant PMT To Brian Davis</t>
        </is>
      </c>
      <c r="C478" t="n">
        <v>1050</v>
      </c>
      <c r="D478" t="inlineStr">
        <is>
          <t>Debit</t>
        </is>
      </c>
    </row>
    <row r="479">
      <c r="A479" s="5" t="n">
        <v>45940</v>
      </c>
      <c r="B479" t="inlineStr">
        <is>
          <t>Other Withdrawals - Zelle Instant PMT To Casey Williamson</t>
        </is>
      </c>
      <c r="C479" t="n">
        <v>260</v>
      </c>
      <c r="D479" t="inlineStr">
        <is>
          <t>Debit</t>
        </is>
      </c>
    </row>
    <row r="480">
      <c r="A480" s="5" t="n">
        <v>45944</v>
      </c>
      <c r="B480" t="inlineStr">
        <is>
          <t>Card Withdrawals - Debit Purchase - VISA On 101125 SAINT LOUIS MO 5018029259</t>
        </is>
      </c>
      <c r="C480" t="n">
        <v>251.45</v>
      </c>
      <c r="D480" t="inlineStr">
        <is>
          <t>Debit</t>
        </is>
      </c>
    </row>
    <row r="481">
      <c r="A481" s="5" t="n">
        <v>45944</v>
      </c>
      <c r="B481" t="inlineStr">
        <is>
          <t>Card Withdrawals - Debit Purchase - VISA On 101225 FREEBURG IL 6500855478</t>
        </is>
      </c>
      <c r="C481" t="n">
        <v>16</v>
      </c>
      <c r="D481" t="inlineStr">
        <is>
          <t>Debit</t>
        </is>
      </c>
    </row>
    <row r="482">
      <c r="A482" s="5" t="n">
        <v>45944</v>
      </c>
      <c r="B482" t="inlineStr">
        <is>
          <t>Card Withdrawals - Debit Purchase - VISA On 101225 SAINT LOUIS MO 5100438721</t>
        </is>
      </c>
      <c r="C482" t="n">
        <v>78.01000000000001</v>
      </c>
      <c r="D482" t="inlineStr">
        <is>
          <t>Debit</t>
        </is>
      </c>
    </row>
    <row r="483">
      <c r="A483" s="5" t="n">
        <v>45944</v>
      </c>
      <c r="B483" t="inlineStr">
        <is>
          <t>Card Withdrawals - Debit Purchase MILLSTADT IGA MILLSTADT IL 6610141554</t>
        </is>
      </c>
      <c r="C483" t="n">
        <v>262.38</v>
      </c>
      <c r="D483" t="inlineStr">
        <is>
          <t>Debit</t>
        </is>
      </c>
    </row>
    <row r="484">
      <c r="A484" s="5" t="n">
        <v>45944</v>
      </c>
      <c r="B484" t="inlineStr">
        <is>
          <t>Other Withdrawals - Electronic Withdrawal To BEST BUY</t>
        </is>
      </c>
      <c r="C484" t="n">
        <v>200</v>
      </c>
      <c r="D484" t="inlineStr">
        <is>
          <t>Debit</t>
        </is>
      </c>
    </row>
    <row r="485">
      <c r="A485" s="5" t="n">
        <v>45944</v>
      </c>
      <c r="B485" t="inlineStr">
        <is>
          <t>Other Withdrawals - Mobile Banking Transfer To Account 152316875235</t>
        </is>
      </c>
      <c r="C485" t="n">
        <v>200</v>
      </c>
      <c r="D485" t="inlineStr">
        <is>
          <t>Debit</t>
        </is>
      </c>
    </row>
    <row r="486">
      <c r="A486" s="5" t="n">
        <v>45944</v>
      </c>
      <c r="B486" t="inlineStr">
        <is>
          <t>Other Withdrawals - Mobile Banking Transfer To Account 152316875235</t>
        </is>
      </c>
      <c r="C486" t="n">
        <v>300</v>
      </c>
      <c r="D486" t="inlineStr">
        <is>
          <t>Debit</t>
        </is>
      </c>
    </row>
    <row r="487">
      <c r="A487" s="5" t="n">
        <v>45944</v>
      </c>
      <c r="B487" t="inlineStr">
        <is>
          <t>Other Withdrawals - Mobile Banking Transfer To Account 152316875235</t>
        </is>
      </c>
      <c r="C487" t="n">
        <v>325</v>
      </c>
      <c r="D487" t="inlineStr">
        <is>
          <t>Debit</t>
        </is>
      </c>
    </row>
    <row r="488">
      <c r="A488" s="5" t="n">
        <v>45945</v>
      </c>
      <c r="B488" t="inlineStr">
        <is>
          <t>Card Withdrawals - Debit Purchase - VISA On 101425 NEW ATHENS IL 8514912504</t>
        </is>
      </c>
      <c r="C488" t="n">
        <v>214</v>
      </c>
      <c r="D488" t="inlineStr">
        <is>
          <t>Debit</t>
        </is>
      </c>
    </row>
    <row r="489">
      <c r="A489" s="5" t="n">
        <v>45945</v>
      </c>
      <c r="B489" t="inlineStr">
        <is>
          <t>Card Withdrawals - Debit Purchase DOLLAR GENERAL # NEW ATHENS IL 0810151213</t>
        </is>
      </c>
      <c r="C489" t="n">
        <v>36.86</v>
      </c>
      <c r="D489" t="inlineStr">
        <is>
          <t>Debit</t>
        </is>
      </c>
    </row>
    <row r="490">
      <c r="A490" s="5" t="n">
        <v>45946</v>
      </c>
      <c r="B490" t="inlineStr">
        <is>
          <t>Other Deposits - Mobile Check Deposit 8950419224</t>
        </is>
      </c>
      <c r="C490" t="n">
        <v>9275</v>
      </c>
      <c r="D490" t="inlineStr">
        <is>
          <t>Credit</t>
        </is>
      </c>
    </row>
    <row r="491">
      <c r="A491" s="5" t="n">
        <v>45947</v>
      </c>
      <c r="B491" t="inlineStr">
        <is>
          <t>Card Withdrawals - Debit Purchase CIRCLE K # 01461 BELLEVILLE IL</t>
        </is>
      </c>
      <c r="C491" t="n">
        <v>51.24</v>
      </c>
      <c r="D491" t="inlineStr">
        <is>
          <t>Debit</t>
        </is>
      </c>
    </row>
    <row r="492">
      <c r="A492" s="5" t="n">
        <v>45947</v>
      </c>
      <c r="B492" t="inlineStr">
        <is>
          <t>Card Withdrawals - Debit Purchase CIRCLE K # 01461 BELLEVILLE IL</t>
        </is>
      </c>
      <c r="C492" t="n">
        <v>91.47</v>
      </c>
      <c r="D492" t="inlineStr">
        <is>
          <t>Debit</t>
        </is>
      </c>
    </row>
    <row r="493">
      <c r="A493" s="5" t="n">
        <v>45947</v>
      </c>
      <c r="B493" t="inlineStr">
        <is>
          <t>Other Withdrawals - Mobile Banking Payment To Credit Card *************3424</t>
        </is>
      </c>
      <c r="C493" t="n">
        <v>600</v>
      </c>
      <c r="D493" t="inlineStr">
        <is>
          <t>Debit</t>
        </is>
      </c>
    </row>
    <row r="494">
      <c r="A494" s="5" t="n">
        <v>45947</v>
      </c>
      <c r="B494" t="inlineStr">
        <is>
          <t>Other Withdrawals - Mobile Banking Payment To Credit Card *************6452</t>
        </is>
      </c>
      <c r="C494" t="n">
        <v>1374.46</v>
      </c>
      <c r="D494" t="inlineStr">
        <is>
          <t>Debit</t>
        </is>
      </c>
    </row>
    <row r="495">
      <c r="A495" s="5" t="n">
        <v>45947</v>
      </c>
      <c r="B495" t="inlineStr">
        <is>
          <t>Other Withdrawals - Mobile Banking Payment To Credit Card *************9563</t>
        </is>
      </c>
      <c r="C495" t="n">
        <v>484.89</v>
      </c>
      <c r="D495" t="inlineStr">
        <is>
          <t>Debit</t>
        </is>
      </c>
    </row>
    <row r="496">
      <c r="A496" s="5" t="n">
        <v>45947</v>
      </c>
      <c r="B496" t="inlineStr">
        <is>
          <t>Other Withdrawals - Mobile Banking Transfer To Account 152316875235</t>
        </is>
      </c>
      <c r="C496" t="n">
        <v>250</v>
      </c>
      <c r="D496" t="inlineStr">
        <is>
          <t>Debit</t>
        </is>
      </c>
    </row>
    <row r="497">
      <c r="A497" s="5" t="n">
        <v>45947</v>
      </c>
      <c r="B497" t="inlineStr">
        <is>
          <t>Other Withdrawals - Mobile Banking Transfer To Account 152316875235</t>
        </is>
      </c>
      <c r="C497" t="n">
        <v>650</v>
      </c>
      <c r="D497" t="inlineStr">
        <is>
          <t>Debit</t>
        </is>
      </c>
    </row>
    <row r="498">
      <c r="A498" s="5" t="n">
        <v>45947</v>
      </c>
      <c r="B498" t="inlineStr">
        <is>
          <t>Other Withdrawals - Zelle Instant PMT To Brian Davis</t>
        </is>
      </c>
      <c r="C498" t="n">
        <v>1400</v>
      </c>
      <c r="D498" t="inlineStr">
        <is>
          <t>Debit</t>
        </is>
      </c>
    </row>
    <row r="499">
      <c r="A499" s="5" t="n">
        <v>45947</v>
      </c>
      <c r="B499" t="inlineStr">
        <is>
          <t>Other Withdrawals - Zelle Instant PMT To Casey Williamson</t>
        </is>
      </c>
      <c r="C499" t="n">
        <v>1079</v>
      </c>
      <c r="D499" t="inlineStr">
        <is>
          <t>Debit</t>
        </is>
      </c>
    </row>
    <row r="500">
      <c r="A500" s="5" t="n">
        <v>45950</v>
      </c>
      <c r="B500" t="inlineStr">
        <is>
          <t>Card Withdrawals - Debit Purchase - VISA On 101625 SAINT LOUIS MO 0003558208</t>
        </is>
      </c>
      <c r="C500" t="n">
        <v>35.54</v>
      </c>
      <c r="D500" t="inlineStr">
        <is>
          <t>Debit</t>
        </is>
      </c>
    </row>
    <row r="501">
      <c r="A501" s="5" t="n">
        <v>45950</v>
      </c>
      <c r="B501" t="inlineStr">
        <is>
          <t>Card Withdrawals - Debit Purchase MNRD-OFALLON 117 O'FALLON IL 3410200843</t>
        </is>
      </c>
      <c r="C501" t="n">
        <v>1850.47</v>
      </c>
      <c r="D501" t="inlineStr">
        <is>
          <t>Debit</t>
        </is>
      </c>
    </row>
    <row r="502">
      <c r="A502" s="5" t="n">
        <v>45950</v>
      </c>
      <c r="B502" t="inlineStr">
        <is>
          <t>Other Withdrawals - Electronic Withdrawal To MIDLAND MTG</t>
        </is>
      </c>
      <c r="C502" t="n">
        <v>964.5599999999999</v>
      </c>
      <c r="D502" t="inlineStr">
        <is>
          <t>Debit</t>
        </is>
      </c>
    </row>
    <row r="503">
      <c r="A503" s="5" t="n">
        <v>45954</v>
      </c>
      <c r="B503" t="inlineStr">
        <is>
          <t>Card Withdrawals - Debit Purchase - VISA On 102225 FAIRVIEW HTS IL 6312628062</t>
        </is>
      </c>
      <c r="C503" t="n">
        <v>40.86</v>
      </c>
      <c r="D503" t="inlineStr">
        <is>
          <t>Debit</t>
        </is>
      </c>
    </row>
    <row r="504">
      <c r="A504" s="5" t="n">
        <v>45954</v>
      </c>
      <c r="B504" t="inlineStr">
        <is>
          <t>Card Withdrawals - Debit Purchase - VISA On 102325 MASCOUTAH IL 7001045499</t>
        </is>
      </c>
      <c r="C504" t="n">
        <v>73.84</v>
      </c>
      <c r="D504" t="inlineStr">
        <is>
          <t>Debit</t>
        </is>
      </c>
    </row>
    <row r="505">
      <c r="A505" s="5" t="n">
        <v>45954</v>
      </c>
      <c r="B505" t="inlineStr">
        <is>
          <t>Card Withdrawals - Debit Purchase verifyvend855-55 PROVIDENCE RI 3210241502</t>
        </is>
      </c>
      <c r="C505" t="n">
        <v>90.28</v>
      </c>
      <c r="D505" t="inlineStr">
        <is>
          <t>Debit</t>
        </is>
      </c>
    </row>
    <row r="506">
      <c r="A506" s="5" t="n">
        <v>45954</v>
      </c>
      <c r="B506" t="inlineStr">
        <is>
          <t>Other Deposits - Mobile Check Deposit 9250095382</t>
        </is>
      </c>
      <c r="C506" t="n">
        <v>8683.82</v>
      </c>
      <c r="D506" t="inlineStr">
        <is>
          <t>Credit</t>
        </is>
      </c>
    </row>
    <row r="507">
      <c r="A507" s="5" t="n">
        <v>45954</v>
      </c>
      <c r="B507" t="inlineStr">
        <is>
          <t>Other Withdrawals - Mobile Banking Transfer To Account 152316874980</t>
        </is>
      </c>
      <c r="C507" t="n">
        <v>1000</v>
      </c>
      <c r="D507" t="inlineStr">
        <is>
          <t>Debit</t>
        </is>
      </c>
    </row>
    <row r="508">
      <c r="A508" s="5" t="n">
        <v>45954</v>
      </c>
      <c r="B508" t="inlineStr">
        <is>
          <t>Other Withdrawals - Mobile Banking Transfer To Account 252310110470</t>
        </is>
      </c>
      <c r="C508" t="n">
        <v>33</v>
      </c>
      <c r="D508" t="inlineStr">
        <is>
          <t>Debit</t>
        </is>
      </c>
    </row>
    <row r="509">
      <c r="A509" s="5" t="n">
        <v>45954</v>
      </c>
      <c r="B509" t="inlineStr">
        <is>
          <t>Other Withdrawals - Zelle Instant PMT To Brian Davis</t>
        </is>
      </c>
      <c r="C509" t="n">
        <v>1400</v>
      </c>
      <c r="D509" t="inlineStr">
        <is>
          <t>Debit</t>
        </is>
      </c>
    </row>
    <row r="510">
      <c r="A510" s="5" t="n">
        <v>45954</v>
      </c>
      <c r="B510" t="inlineStr">
        <is>
          <t>Other Withdrawals - Zelle Instant PMT To Casey Williamson</t>
        </is>
      </c>
      <c r="C510" t="n">
        <v>975</v>
      </c>
      <c r="D510" t="inlineStr">
        <is>
          <t>Debit</t>
        </is>
      </c>
    </row>
    <row r="511">
      <c r="A511" s="5" t="n">
        <v>45957</v>
      </c>
      <c r="B511" t="inlineStr">
        <is>
          <t>Card Withdrawals - ATM Withdrawal 1291 OLD BALDWIN NEW ATHENS IL</t>
        </is>
      </c>
      <c r="C511" t="n">
        <v>203.25</v>
      </c>
      <c r="D511" t="inlineStr">
        <is>
          <t>Debit</t>
        </is>
      </c>
    </row>
    <row r="512">
      <c r="A512" s="5" t="n">
        <v>45957</v>
      </c>
      <c r="B512" t="inlineStr">
        <is>
          <t>Card Withdrawals - Debit Purchase - VISA On 102225 Freeburg IL 5109672285</t>
        </is>
      </c>
      <c r="C512" t="n">
        <v>72</v>
      </c>
      <c r="D512" t="inlineStr">
        <is>
          <t>Debit</t>
        </is>
      </c>
    </row>
    <row r="513">
      <c r="A513" s="5" t="n">
        <v>45957</v>
      </c>
      <c r="B513" t="inlineStr">
        <is>
          <t>Card Withdrawals - Debit Purchase - VISA On 102325 BELLEVILLE IL 8526475013</t>
        </is>
      </c>
      <c r="C513" t="n">
        <v>25.94</v>
      </c>
      <c r="D513" t="inlineStr">
        <is>
          <t>Debit</t>
        </is>
      </c>
    </row>
    <row r="514">
      <c r="A514" s="5" t="n">
        <v>45957</v>
      </c>
      <c r="B514" t="inlineStr">
        <is>
          <t>Card Withdrawals - Debit Purchase - VISA On 102425 ST LOUIS MO 9103297909</t>
        </is>
      </c>
      <c r="C514" t="n">
        <v>13.44</v>
      </c>
      <c r="D514" t="inlineStr">
        <is>
          <t>Debit</t>
        </is>
      </c>
    </row>
    <row r="515">
      <c r="A515" s="5" t="n">
        <v>45957</v>
      </c>
      <c r="B515" t="inlineStr">
        <is>
          <t>Card Withdrawals - Debit Purchase - VISA On 102425 ST. LOUIS MO 9030068221</t>
        </is>
      </c>
      <c r="C515" t="n">
        <v>100.98</v>
      </c>
      <c r="D515" t="inlineStr">
        <is>
          <t>Debit</t>
        </is>
      </c>
    </row>
    <row r="516">
      <c r="A516" s="5" t="n">
        <v>45957</v>
      </c>
      <c r="B516" t="inlineStr">
        <is>
          <t>Card Withdrawals - Debit Purchase - VISA On 102525 NEW ATHENS IL 9300679289</t>
        </is>
      </c>
      <c r="C516" t="n">
        <v>86.92</v>
      </c>
      <c r="D516" t="inlineStr">
        <is>
          <t>Debit</t>
        </is>
      </c>
    </row>
    <row r="517">
      <c r="A517" s="5" t="n">
        <v>45957</v>
      </c>
      <c r="B517" t="inlineStr">
        <is>
          <t>Card Withdrawals - Debit Purchase QT 651 OUTSIDE ST LOUIS MO 7610242227</t>
        </is>
      </c>
      <c r="C517" t="n">
        <v>34.59</v>
      </c>
      <c r="D517" t="inlineStr">
        <is>
          <t>Debit</t>
        </is>
      </c>
    </row>
    <row r="518">
      <c r="A518" s="5" t="n">
        <v>45957</v>
      </c>
      <c r="B518" t="inlineStr">
        <is>
          <t>Card Withdrawals - Fee ATM Withdrawal At Other Network 2700003661 $</t>
        </is>
      </c>
      <c r="C518" t="n">
        <v>3</v>
      </c>
      <c r="D518" t="inlineStr">
        <is>
          <t>Debit</t>
        </is>
      </c>
    </row>
    <row r="519">
      <c r="A519" s="5" t="n">
        <v>45958</v>
      </c>
      <c r="B519" t="inlineStr">
        <is>
          <t>Card Withdrawals - Debit Purchase - VISA On 102725 FAIRVIEW HEI IL 0529284866</t>
        </is>
      </c>
      <c r="C519" t="n">
        <v>68.23</v>
      </c>
      <c r="D519" t="inlineStr">
        <is>
          <t>Debit</t>
        </is>
      </c>
    </row>
    <row r="520">
      <c r="A520" s="5" t="n">
        <v>45958</v>
      </c>
      <c r="B520" t="inlineStr">
        <is>
          <t>Other Withdrawals - Mobile Banking Transfer To Account 152316875235</t>
        </is>
      </c>
      <c r="C520" t="n">
        <v>100</v>
      </c>
      <c r="D520" t="inlineStr">
        <is>
          <t>Debit</t>
        </is>
      </c>
    </row>
    <row r="521">
      <c r="A521" s="5" t="n">
        <v>45960</v>
      </c>
      <c r="B521" t="inlineStr">
        <is>
          <t>Card Withdrawals - ATM Withdrawal 611 NORTH 2ND ST LENZBURG IL</t>
        </is>
      </c>
      <c r="C521" t="n">
        <v>104</v>
      </c>
      <c r="D521" t="inlineStr">
        <is>
          <t>Debit</t>
        </is>
      </c>
    </row>
    <row r="522">
      <c r="A522" s="5" t="n">
        <v>45960</v>
      </c>
      <c r="B522" t="inlineStr">
        <is>
          <t>Card Withdrawals - Fee ATM Withdrawal At Other Network 3000001505</t>
        </is>
      </c>
      <c r="C522" t="n">
        <v>3</v>
      </c>
      <c r="D522" t="inlineStr">
        <is>
          <t>Debit</t>
        </is>
      </c>
    </row>
    <row r="523">
      <c r="A523" s="5" t="n">
        <v>45960</v>
      </c>
      <c r="B523" t="inlineStr">
        <is>
          <t>Other Deposits - Mobile Check Deposit 8950355293</t>
        </is>
      </c>
      <c r="C523" t="n">
        <v>500</v>
      </c>
      <c r="D523" t="inlineStr">
        <is>
          <t>Credit</t>
        </is>
      </c>
    </row>
    <row r="524">
      <c r="A524" s="5" t="n">
        <v>45960</v>
      </c>
      <c r="B524" t="inlineStr">
        <is>
          <t>Other Withdrawals - Electronic Withdrawal To STATE FARM RO 27</t>
        </is>
      </c>
      <c r="C524" t="n">
        <v>294.97</v>
      </c>
      <c r="D524" t="inlineStr">
        <is>
          <t>Debit</t>
        </is>
      </c>
    </row>
    <row r="525">
      <c r="A525" s="5" t="n">
        <v>45961</v>
      </c>
      <c r="B525" t="inlineStr">
        <is>
          <t>Card Withdrawals - Debit Purchase - VISA On 102925 Glen Carbon IL 3106778995</t>
        </is>
      </c>
      <c r="C525" t="n">
        <v>43.12</v>
      </c>
      <c r="D525" t="inlineStr">
        <is>
          <t>Debit</t>
        </is>
      </c>
    </row>
    <row r="526">
      <c r="A526" s="5" t="n">
        <v>45961</v>
      </c>
      <c r="B526" t="inlineStr">
        <is>
          <t>Card Withdrawals - Debit Purchase - VISA On 102925 MARYVILLE IL 3300631650</t>
        </is>
      </c>
      <c r="C526" t="n">
        <v>41.63</v>
      </c>
      <c r="D526" t="inlineStr">
        <is>
          <t>Debit</t>
        </is>
      </c>
    </row>
    <row r="527">
      <c r="A527" s="5" t="n">
        <v>45961</v>
      </c>
      <c r="B527" t="inlineStr">
        <is>
          <t>Card Withdrawals - Debit Purchase verifyvend855-55 PROVIDENCE RI 9610301635</t>
        </is>
      </c>
      <c r="C527" t="n">
        <v>97.38</v>
      </c>
      <c r="D527" t="inlineStr">
        <is>
          <t>Debit</t>
        </is>
      </c>
    </row>
    <row r="528">
      <c r="A528" s="5" t="n">
        <v>45961</v>
      </c>
      <c r="B528" t="inlineStr">
        <is>
          <t>Other Withdrawals - Customer Withdrawal 9251030071</t>
        </is>
      </c>
      <c r="C528" t="n">
        <v>400</v>
      </c>
      <c r="D528" t="inlineStr">
        <is>
          <t>Debit</t>
        </is>
      </c>
    </row>
    <row r="529">
      <c r="A529" s="5" t="n">
        <v>45964</v>
      </c>
      <c r="B529" t="inlineStr">
        <is>
          <t>Card Withdrawals - ATM Withdrawal 8000 S LACLEDE S ST LOUIS MO</t>
        </is>
      </c>
      <c r="C529" t="n">
        <v>21.95</v>
      </c>
      <c r="D529" t="inlineStr">
        <is>
          <t>Debit</t>
        </is>
      </c>
    </row>
    <row r="530">
      <c r="A530" s="5" t="n">
        <v>45964</v>
      </c>
      <c r="B530" t="inlineStr">
        <is>
          <t>Card Withdrawals - Debit Purchase - VISA On 103125 FREEBURG IL 4900012600</t>
        </is>
      </c>
      <c r="C530" t="n">
        <v>72.77</v>
      </c>
      <c r="D530" t="inlineStr">
        <is>
          <t>Debit</t>
        </is>
      </c>
    </row>
    <row r="531">
      <c r="A531" s="5" t="n">
        <v>45964</v>
      </c>
      <c r="B531" t="inlineStr">
        <is>
          <t>Card Withdrawals - Debit Purchase - VISA On 103125 WATERLOO IL 5318070606 $</t>
        </is>
      </c>
      <c r="C531" t="n">
        <v>17.35</v>
      </c>
      <c r="D531" t="inlineStr">
        <is>
          <t>Debit</t>
        </is>
      </c>
    </row>
    <row r="532">
      <c r="A532" s="5" t="n">
        <v>45964</v>
      </c>
      <c r="B532" t="inlineStr">
        <is>
          <t>Card Withdrawals - Debit Purchase 7-ELEVEN 26184 Florissant MO</t>
        </is>
      </c>
      <c r="C532" t="n">
        <v>70.44</v>
      </c>
      <c r="D532" t="inlineStr">
        <is>
          <t>Debit</t>
        </is>
      </c>
    </row>
    <row r="533">
      <c r="A533" s="5" t="n">
        <v>45964</v>
      </c>
      <c r="B533" t="inlineStr">
        <is>
          <t>Card Withdrawals - Debit Purchase Liese Lumber Com Belleville IL 1011031306</t>
        </is>
      </c>
      <c r="C533" t="n">
        <v>2022.3</v>
      </c>
      <c r="D533" t="inlineStr">
        <is>
          <t>Debit</t>
        </is>
      </c>
    </row>
    <row r="534">
      <c r="A534" s="5" t="n">
        <v>45964</v>
      </c>
      <c r="B534" t="inlineStr">
        <is>
          <t>Card Withdrawals - Fee ATM Withdrawal At Other Network 0300004696 $</t>
        </is>
      </c>
      <c r="C534" t="n">
        <v>3</v>
      </c>
      <c r="D534" t="inlineStr">
        <is>
          <t>Debit</t>
        </is>
      </c>
    </row>
    <row r="535">
      <c r="A535" s="5" t="n">
        <v>45964</v>
      </c>
      <c r="B535" t="inlineStr">
        <is>
          <t>Other Withdrawals - 13,617.83 Nov13 15,120.55 Nov21</t>
        </is>
      </c>
      <c r="C535" t="n">
        <v>10449.77</v>
      </c>
      <c r="D535" t="inlineStr">
        <is>
          <t>Credit</t>
        </is>
      </c>
    </row>
    <row r="536">
      <c r="A536" s="5" t="n">
        <v>45964</v>
      </c>
      <c r="B536" t="inlineStr">
        <is>
          <t>Other Withdrawals - Electronic Withdrawal To DISCOVER</t>
        </is>
      </c>
      <c r="C536" t="n">
        <v>152.25</v>
      </c>
      <c r="D536" t="inlineStr">
        <is>
          <t>Debit</t>
        </is>
      </c>
    </row>
    <row r="537">
      <c r="A537" s="5" t="n">
        <v>45964</v>
      </c>
      <c r="B537" t="inlineStr">
        <is>
          <t>Other Withdrawals - Electronic Withdrawal To MERCURY FBT $</t>
        </is>
      </c>
      <c r="C537" t="n">
        <v>15</v>
      </c>
      <c r="D537" t="inlineStr">
        <is>
          <t>Debit</t>
        </is>
      </c>
    </row>
    <row r="538">
      <c r="A538" s="5" t="n">
        <v>45964</v>
      </c>
      <c r="B538" t="inlineStr">
        <is>
          <t>Other Withdrawals - Mobile Banking Transfer To Account 152316875235</t>
        </is>
      </c>
      <c r="C538" t="n">
        <v>500</v>
      </c>
      <c r="D538" t="inlineStr">
        <is>
          <t>Debit</t>
        </is>
      </c>
    </row>
    <row r="539">
      <c r="A539" s="5" t="n">
        <v>45964</v>
      </c>
      <c r="B539" t="inlineStr">
        <is>
          <t>Other Withdrawals - Zelle Instant PMT To Brian Davis</t>
        </is>
      </c>
      <c r="C539" t="n">
        <v>210</v>
      </c>
      <c r="D539" t="inlineStr">
        <is>
          <t>Debit</t>
        </is>
      </c>
    </row>
    <row r="540">
      <c r="A540" s="5" t="n">
        <v>45965</v>
      </c>
      <c r="B540" t="inlineStr">
        <is>
          <t>Card Withdrawals - Debit Purchase - VISA On 110225 FLORISSANT MO 7319185017</t>
        </is>
      </c>
      <c r="C540" t="n">
        <v>71.54000000000001</v>
      </c>
      <c r="D540" t="inlineStr">
        <is>
          <t>Debit</t>
        </is>
      </c>
    </row>
    <row r="541">
      <c r="A541" s="5" t="n">
        <v>45965</v>
      </c>
      <c r="B541" t="inlineStr">
        <is>
          <t>Other Withdrawals - 13,546.29 Nov14 13,479.30 Nov24</t>
        </is>
      </c>
      <c r="C541" t="n">
        <v>8841.559999999999</v>
      </c>
      <c r="D541" t="inlineStr">
        <is>
          <t>Credit</t>
        </is>
      </c>
    </row>
    <row r="542">
      <c r="A542" s="5" t="n">
        <v>45966</v>
      </c>
      <c r="B542" t="inlineStr">
        <is>
          <t>Other Deposits - Mobile Banking Transfer From Account 152316874980 $</t>
        </is>
      </c>
      <c r="C542" t="n">
        <v>275</v>
      </c>
      <c r="D542" t="inlineStr">
        <is>
          <t>Credit</t>
        </is>
      </c>
    </row>
    <row r="543">
      <c r="A543" s="5" t="n">
        <v>45966</v>
      </c>
      <c r="B543" t="inlineStr">
        <is>
          <t>Other Deposits - Mobile Check Deposit 8650986567</t>
        </is>
      </c>
      <c r="C543" t="n">
        <v>900</v>
      </c>
      <c r="D543" t="inlineStr">
        <is>
          <t>Credit</t>
        </is>
      </c>
    </row>
    <row r="544">
      <c r="A544" s="5" t="n">
        <v>45966</v>
      </c>
      <c r="B544" t="inlineStr">
        <is>
          <t>Other Deposits - Mobile Check Deposit 8651104382</t>
        </is>
      </c>
      <c r="C544" t="n">
        <v>421</v>
      </c>
      <c r="D544" t="inlineStr">
        <is>
          <t>Credit</t>
        </is>
      </c>
    </row>
    <row r="545">
      <c r="A545" s="5" t="n">
        <v>45966</v>
      </c>
      <c r="B545" t="inlineStr">
        <is>
          <t>Other Withdrawals - 15,142.29 Nov17 12,336.19 Nov25</t>
        </is>
      </c>
      <c r="C545" t="n">
        <v>11347.6</v>
      </c>
      <c r="D545" t="inlineStr">
        <is>
          <t>Credit</t>
        </is>
      </c>
    </row>
    <row r="546">
      <c r="A546" s="5" t="n">
        <v>45967</v>
      </c>
      <c r="B546" t="inlineStr">
        <is>
          <t>Other Deposits - Debit Purchase Ret - VISA On 110325 O'FALLON IL 8100308531</t>
        </is>
      </c>
      <c r="C546" t="n">
        <v>65.78</v>
      </c>
      <c r="D546" t="inlineStr">
        <is>
          <t>Credit</t>
        </is>
      </c>
    </row>
    <row r="547">
      <c r="A547" s="5" t="n">
        <v>45967</v>
      </c>
      <c r="B547" t="inlineStr">
        <is>
          <t>Other Withdrawals - 15,208.07 Nov18 12,221.67 Nov26</t>
        </is>
      </c>
      <c r="C547" t="n">
        <v>13758.82</v>
      </c>
      <c r="D547" t="inlineStr">
        <is>
          <t>Credit</t>
        </is>
      </c>
    </row>
    <row r="548">
      <c r="A548" s="5" t="n">
        <v>45993</v>
      </c>
      <c r="B548" t="inlineStr">
        <is>
          <t>Card Withdrawals - Debit Purchase - VISA On 120125 866-686-2158 DE 6171915040</t>
        </is>
      </c>
      <c r="C548" t="n">
        <v>500</v>
      </c>
      <c r="D548" t="inlineStr">
        <is>
          <t>Debit</t>
        </is>
      </c>
    </row>
    <row r="549">
      <c r="A549" s="5" t="n">
        <v>45993</v>
      </c>
      <c r="B549" t="inlineStr">
        <is>
          <t>Card Withdrawals - Debit Purchase - VISA On 120125 COLUMBIA IL 6073224707 $</t>
        </is>
      </c>
      <c r="C549" t="n">
        <v>15.47</v>
      </c>
      <c r="D549" t="inlineStr">
        <is>
          <t>Debit</t>
        </is>
      </c>
    </row>
    <row r="550">
      <c r="A550" s="5" t="n">
        <v>45993</v>
      </c>
      <c r="B550" t="inlineStr">
        <is>
          <t>Card Withdrawals - Debit Purchase CIRCLE K 01604 HIGH RIDGE MO 7212011934</t>
        </is>
      </c>
      <c r="C550" t="n">
        <v>54.53</v>
      </c>
      <c r="D550" t="inlineStr">
        <is>
          <t>Debit</t>
        </is>
      </c>
    </row>
    <row r="551">
      <c r="A551" s="5" t="n">
        <v>45993</v>
      </c>
      <c r="B551" t="inlineStr">
        <is>
          <t>Other Withdrawals - 10,237.85 Dec10 16,398.70 Dec19</t>
        </is>
      </c>
      <c r="C551" t="n">
        <v>12249.7</v>
      </c>
      <c r="D551" t="inlineStr">
        <is>
          <t>Credit</t>
        </is>
      </c>
    </row>
    <row r="552">
      <c r="A552" s="5" t="n">
        <v>45994</v>
      </c>
      <c r="B552" t="inlineStr">
        <is>
          <t>Card Withdrawals - Debit Purchase - VISA On 120125 HIGH RIDGE MO 6900018688</t>
        </is>
      </c>
      <c r="C552" t="n">
        <v>47.14</v>
      </c>
      <c r="D552" t="inlineStr">
        <is>
          <t>Debit</t>
        </is>
      </c>
    </row>
    <row r="553">
      <c r="A553" s="5" t="n">
        <v>45994</v>
      </c>
      <c r="B553" t="inlineStr">
        <is>
          <t>Card Withdrawals - Debit Purchase - VISA On 120225 FREEBURG IL 6720244772</t>
        </is>
      </c>
      <c r="C553" t="n">
        <v>5.42</v>
      </c>
      <c r="D553" t="inlineStr">
        <is>
          <t>Debit</t>
        </is>
      </c>
    </row>
    <row r="554">
      <c r="A554" s="5" t="n">
        <v>45994</v>
      </c>
      <c r="B554" t="inlineStr">
        <is>
          <t>Other Withdrawals - 9,718.56 Dec12 14,167.88 Dec22</t>
        </is>
      </c>
      <c r="C554" t="n">
        <v>12077.27</v>
      </c>
      <c r="D554" t="inlineStr">
        <is>
          <t>Credit</t>
        </is>
      </c>
    </row>
    <row r="555">
      <c r="A555" s="5" t="n">
        <v>45994</v>
      </c>
      <c r="B555" t="inlineStr">
        <is>
          <t>Other Withdrawals - Electronic Withdrawal To DISCOVER</t>
        </is>
      </c>
      <c r="C555" t="n">
        <v>138.46</v>
      </c>
      <c r="D555" t="inlineStr">
        <is>
          <t>Debit</t>
        </is>
      </c>
    </row>
    <row r="556">
      <c r="A556" s="5" t="n">
        <v>45994</v>
      </c>
      <c r="B556" t="inlineStr">
        <is>
          <t>Other Withdrawals - Electronic Withdrawal To MERCURY FBT $</t>
        </is>
      </c>
      <c r="C556" t="n">
        <v>33.3</v>
      </c>
      <c r="D556" t="inlineStr">
        <is>
          <t>Debit</t>
        </is>
      </c>
    </row>
    <row r="557">
      <c r="A557" s="5" t="n">
        <v>45994</v>
      </c>
      <c r="B557" t="inlineStr">
        <is>
          <t>Other Withdrawals - Electronic Withdrawal To STATE FARM RO 27</t>
        </is>
      </c>
      <c r="C557" t="n">
        <v>294.97</v>
      </c>
      <c r="D557" t="inlineStr">
        <is>
          <t>Debit</t>
        </is>
      </c>
    </row>
    <row r="558">
      <c r="A558" s="5" t="n">
        <v>45995</v>
      </c>
      <c r="B558" t="inlineStr">
        <is>
          <t>Card Withdrawals - Debit Purchase - VISA On 120225 NEW ATHENS IL 7900013461</t>
        </is>
      </c>
      <c r="C558" t="n">
        <v>23.98</v>
      </c>
      <c r="D558" t="inlineStr">
        <is>
          <t>Debit</t>
        </is>
      </c>
    </row>
    <row r="559">
      <c r="A559" s="5" t="n">
        <v>45995</v>
      </c>
      <c r="B559" t="inlineStr">
        <is>
          <t>Card Withdrawals - Debit Purchase CASEYS #3252 129 NEW ATHENS IL 5612031631</t>
        </is>
      </c>
      <c r="C559" t="n">
        <v>19.33</v>
      </c>
      <c r="D559" t="inlineStr">
        <is>
          <t>Debit</t>
        </is>
      </c>
    </row>
    <row r="560">
      <c r="A560" s="5" t="n">
        <v>45995</v>
      </c>
      <c r="B560" t="inlineStr">
        <is>
          <t>Other Withdrawals - 9,675.25 Dec15 13,393.91 Dec24</t>
        </is>
      </c>
      <c r="C560" t="n">
        <v>9329.059999999999</v>
      </c>
      <c r="D560" t="inlineStr">
        <is>
          <t>Credit</t>
        </is>
      </c>
    </row>
    <row r="561">
      <c r="A561" s="5" t="n">
        <v>45996</v>
      </c>
      <c r="B561" t="inlineStr">
        <is>
          <t>Card Withdrawals - Debit Purchase - VISA On 120325 NEW ATHENS IL 8900013599</t>
        </is>
      </c>
      <c r="C561" t="n">
        <v>37.34</v>
      </c>
      <c r="D561" t="inlineStr">
        <is>
          <t>Debit</t>
        </is>
      </c>
    </row>
    <row r="562">
      <c r="A562" s="5" t="n">
        <v>45996</v>
      </c>
      <c r="B562" t="inlineStr">
        <is>
          <t>Card Withdrawals - Debit Purchase - VISA On 120425 FREEBURG IL 8570712070</t>
        </is>
      </c>
      <c r="C562" t="n">
        <v>19.78</v>
      </c>
      <c r="D562" t="inlineStr">
        <is>
          <t>Debit</t>
        </is>
      </c>
    </row>
    <row r="563">
      <c r="A563" s="5" t="n">
        <v>45996</v>
      </c>
      <c r="B563" t="inlineStr">
        <is>
          <t>Other Withdrawals - 8,244.13 Dec16 12,351.45 Dec26</t>
        </is>
      </c>
      <c r="C563" t="n">
        <v>9129.059999999999</v>
      </c>
      <c r="D563" t="inlineStr">
        <is>
          <t>Credit</t>
        </is>
      </c>
    </row>
    <row r="564">
      <c r="A564" s="5" t="n">
        <v>45996</v>
      </c>
      <c r="B564" t="inlineStr">
        <is>
          <t>Other Withdrawals - Zelle Instant PMT To Brian Davis</t>
        </is>
      </c>
      <c r="C564" t="n">
        <v>997</v>
      </c>
      <c r="D564" t="inlineStr">
        <is>
          <t>Debit</t>
        </is>
      </c>
    </row>
    <row r="565">
      <c r="A565" s="5" t="n">
        <v>45996</v>
      </c>
      <c r="B565" t="inlineStr">
        <is>
          <t>Other Withdrawals - Zelle Instant PMT To Casey Williamson</t>
        </is>
      </c>
      <c r="C565" t="n">
        <v>377</v>
      </c>
      <c r="D565" t="inlineStr">
        <is>
          <t>Debit</t>
        </is>
      </c>
    </row>
    <row r="566">
      <c r="A566" s="5" t="n">
        <v>45999</v>
      </c>
      <c r="B566" t="inlineStr">
        <is>
          <t>Card Withdrawals - Debit Purchase - VISA On 120525 BELLEVILLE IL 9001117154</t>
        </is>
      </c>
      <c r="C566" t="n">
        <v>23.43</v>
      </c>
      <c r="D566" t="inlineStr">
        <is>
          <t>Debit</t>
        </is>
      </c>
    </row>
    <row r="567">
      <c r="A567" s="5" t="n">
        <v>45999</v>
      </c>
      <c r="B567" t="inlineStr">
        <is>
          <t>Card Withdrawals - Debit Purchase - VISA On 120525 FREEBURG IL 9720255374</t>
        </is>
      </c>
      <c r="C567" t="n">
        <v>1.91</v>
      </c>
      <c r="D567" t="inlineStr">
        <is>
          <t>Debit</t>
        </is>
      </c>
    </row>
    <row r="568">
      <c r="A568" s="5" t="n">
        <v>45999</v>
      </c>
      <c r="B568" t="inlineStr">
        <is>
          <t>Card Withdrawals - Debit Purchase - VISA On 120625 CARBONDALE IL 1133417204</t>
        </is>
      </c>
      <c r="C568" t="n">
        <v>131.68</v>
      </c>
      <c r="D568" t="inlineStr">
        <is>
          <t>Debit</t>
        </is>
      </c>
    </row>
    <row r="569">
      <c r="A569" s="5" t="n">
        <v>45999</v>
      </c>
      <c r="B569" t="inlineStr">
        <is>
          <t>Card Withdrawals - Debit Purchase DOLLAR GENERAL # NEW ATHENS IL 0312051726</t>
        </is>
      </c>
      <c r="C569" t="n">
        <v>22.23</v>
      </c>
      <c r="D569" t="inlineStr">
        <is>
          <t>Debit</t>
        </is>
      </c>
    </row>
    <row r="570">
      <c r="A570" s="5" t="n">
        <v>45999</v>
      </c>
      <c r="B570" t="inlineStr">
        <is>
          <t>Card Withdrawals - Debit Purchase NEW ATHENS MINI NEW ATHENS IL 5112051717</t>
        </is>
      </c>
      <c r="C570" t="n">
        <v>8.609999999999999</v>
      </c>
      <c r="D570" t="inlineStr">
        <is>
          <t>Debit</t>
        </is>
      </c>
    </row>
    <row r="571">
      <c r="A571" s="5" t="n">
        <v>45999</v>
      </c>
      <c r="B571" t="inlineStr">
        <is>
          <t>Other Deposits - Mobile Check Deposit 8054580596 $</t>
        </is>
      </c>
      <c r="C571" t="n">
        <v>8930.68</v>
      </c>
      <c r="D571" t="inlineStr">
        <is>
          <t>Credit</t>
        </is>
      </c>
    </row>
    <row r="572">
      <c r="A572" s="5" t="n">
        <v>45999</v>
      </c>
      <c r="B572" t="inlineStr">
        <is>
          <t>Other Withdrawals - 16,961.95 Dec17 14,791.93 Dec29</t>
        </is>
      </c>
      <c r="C572" t="n">
        <v>8781.34</v>
      </c>
      <c r="D572" t="inlineStr">
        <is>
          <t>Credit</t>
        </is>
      </c>
    </row>
    <row r="573">
      <c r="A573" s="5" t="n">
        <v>45999</v>
      </c>
      <c r="B573" t="inlineStr">
        <is>
          <t>Other Withdrawals - Mobile Banking Transfer To Account 152316874980</t>
        </is>
      </c>
      <c r="C573" t="n">
        <v>25</v>
      </c>
      <c r="D573" t="inlineStr">
        <is>
          <t>Debit</t>
        </is>
      </c>
    </row>
    <row r="574">
      <c r="A574" s="5" t="n">
        <v>46000</v>
      </c>
      <c r="B574" t="inlineStr">
        <is>
          <t>Card Withdrawals - Debit Purchase SCHNUCKS MARKET COLUMBIA IL 2112081749</t>
        </is>
      </c>
      <c r="C574" t="n">
        <v>119.52</v>
      </c>
      <c r="D574" t="inlineStr">
        <is>
          <t>Debit</t>
        </is>
      </c>
    </row>
    <row r="575">
      <c r="A575" s="5" t="n">
        <v>46000</v>
      </c>
      <c r="B575" t="inlineStr">
        <is>
          <t>Other Withdrawals - 16,642.43 Dec18 14,752.14 Dec31</t>
        </is>
      </c>
      <c r="C575" t="n">
        <v>8236.370000000001</v>
      </c>
      <c r="D575" t="inlineStr">
        <is>
          <t>Credit</t>
        </is>
      </c>
    </row>
    <row r="576">
      <c r="A576" s="5" t="n">
        <v>46000</v>
      </c>
      <c r="B576" t="inlineStr">
        <is>
          <t>Other Withdrawals - Mobile Banking Transfer To Account 152316875235</t>
        </is>
      </c>
      <c r="C576" t="n">
        <v>200</v>
      </c>
      <c r="D576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  <col width="16" customWidth="1" min="10" max="10"/>
    <col width="70" customWidth="1" min="12" max="12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Original Group</t>
        </is>
      </c>
      <c r="G1" s="4" t="inlineStr">
        <is>
          <t>Final Group</t>
        </is>
      </c>
      <c r="H1" s="4" t="inlineStr">
        <is>
          <t>Manual Override</t>
        </is>
      </c>
      <c r="I1" s="4" t="inlineStr">
        <is>
          <t>Override Note</t>
        </is>
      </c>
      <c r="J1" s="4" t="inlineStr">
        <is>
          <t>Contractor</t>
        </is>
      </c>
      <c r="L1" s="6" t="inlineStr">
        <is>
          <t>WARNING: Changing Final Group may impact tax reporting. Confirm with tax professional.</t>
        </is>
      </c>
    </row>
    <row r="2">
      <c r="A2" s="5" t="n">
        <v>45659</v>
      </c>
      <c r="B2" t="inlineStr">
        <is>
          <t>Card Withdrawals - Debit Purchase - VISA On 123124 800-956-6310 IL 6122674711 $</t>
        </is>
      </c>
      <c r="C2" t="n">
        <v>409.37</v>
      </c>
      <c r="D2" t="inlineStr">
        <is>
          <t>Debit</t>
        </is>
      </c>
      <c r="E2" t="inlineStr">
        <is>
          <t>Tools</t>
        </is>
      </c>
      <c r="F2">
        <f>IF(E2="Income","Revenue",IF(OR(E2="Materials",E2="Labor",E2="Dump Fees"),"COGS",IF(OR(E2="Fuel",E2="Insurance",E2="Tools",E2="Repairs"),"Expense","Non-Deductible")))</f>
        <v/>
      </c>
      <c r="G2" t="inlineStr">
        <is>
          <t>Expense</t>
        </is>
      </c>
      <c r="H2">
        <f>IF(G2&lt;&gt;F2,"YES","NO")</f>
        <v/>
      </c>
      <c r="I2" t="inlineStr"/>
      <c r="J2" t="inlineStr"/>
    </row>
    <row r="3">
      <c r="A3" s="5" t="n">
        <v>45659</v>
      </c>
      <c r="B3" t="inlineStr">
        <is>
          <t>Other Withdrawals - Zelle Instant PMT To Nadia Session $</t>
        </is>
      </c>
      <c r="C3" t="n">
        <v>247</v>
      </c>
      <c r="D3" t="inlineStr">
        <is>
          <t>Debit</t>
        </is>
      </c>
      <c r="E3" t="inlineStr">
        <is>
          <t>Tools</t>
        </is>
      </c>
      <c r="F3">
        <f>IF(E3="Income","Revenue",IF(OR(E3="Materials",E3="Labor",E3="Dump Fees"),"COGS",IF(OR(E3="Fuel",E3="Insurance",E3="Tools",E3="Repairs"),"Expense","Non-Deductible")))</f>
        <v/>
      </c>
      <c r="G3" t="inlineStr">
        <is>
          <t>Expense</t>
        </is>
      </c>
      <c r="H3">
        <f>IF(G3&lt;&gt;F3,"YES","NO")</f>
        <v/>
      </c>
      <c r="I3" t="inlineStr"/>
      <c r="J3" t="inlineStr"/>
    </row>
    <row r="4">
      <c r="A4" s="5" t="n">
        <v>45660</v>
      </c>
      <c r="B4" t="inlineStr">
        <is>
          <t>Other Withdrawals - Zelle Instant PMT To Brian Davis</t>
        </is>
      </c>
      <c r="C4" t="n">
        <v>1120</v>
      </c>
      <c r="D4" t="inlineStr">
        <is>
          <t>Debit</t>
        </is>
      </c>
      <c r="E4" t="inlineStr">
        <is>
          <t>Labor</t>
        </is>
      </c>
      <c r="F4">
        <f>IF(E4="Income","Revenue",IF(OR(E4="Materials",E4="Labor",E4="Dump Fees"),"COGS",IF(OR(E4="Fuel",E4="Insurance",E4="Tools",E4="Repairs"),"Expense","Non-Deductible")))</f>
        <v/>
      </c>
      <c r="G4" t="inlineStr">
        <is>
          <t>COGS</t>
        </is>
      </c>
      <c r="H4">
        <f>IF(G4&lt;&gt;F4,"YES","NO")</f>
        <v/>
      </c>
      <c r="I4" t="inlineStr"/>
      <c r="J4" t="inlineStr">
        <is>
          <t>Bryan</t>
        </is>
      </c>
    </row>
    <row r="5">
      <c r="A5" s="5" t="n">
        <v>45660</v>
      </c>
      <c r="B5" t="inlineStr">
        <is>
          <t>Other Withdrawals - Zelle Instant PMT To Casey Williamson</t>
        </is>
      </c>
      <c r="C5" t="n">
        <v>600</v>
      </c>
      <c r="D5" t="inlineStr">
        <is>
          <t>Debit</t>
        </is>
      </c>
      <c r="E5" t="inlineStr">
        <is>
          <t>Labor</t>
        </is>
      </c>
      <c r="F5">
        <f>IF(E5="Income","Revenue",IF(OR(E5="Materials",E5="Labor",E5="Dump Fees"),"COGS",IF(OR(E5="Fuel",E5="Insurance",E5="Tools",E5="Repairs"),"Expense","Non-Deductible")))</f>
        <v/>
      </c>
      <c r="G5" t="inlineStr">
        <is>
          <t>COGS</t>
        </is>
      </c>
      <c r="H5">
        <f>IF(G5&lt;&gt;F5,"YES","NO")</f>
        <v/>
      </c>
      <c r="I5" t="inlineStr"/>
      <c r="J5" t="inlineStr">
        <is>
          <t>Casey</t>
        </is>
      </c>
    </row>
    <row r="6">
      <c r="A6" s="5" t="n">
        <v>45663</v>
      </c>
      <c r="B6" t="inlineStr">
        <is>
          <t>Other Withdrawals - Electronic Withdrawal To CEFCU TEL DEBIT</t>
        </is>
      </c>
      <c r="C6" t="n">
        <v>1042.46</v>
      </c>
      <c r="D6" t="inlineStr">
        <is>
          <t>Debit</t>
        </is>
      </c>
      <c r="E6" t="inlineStr">
        <is>
          <t>Tools</t>
        </is>
      </c>
      <c r="F6">
        <f>IF(E6="Income","Revenue",IF(OR(E6="Materials",E6="Labor",E6="Dump Fees"),"COGS",IF(OR(E6="Fuel",E6="Insurance",E6="Tools",E6="Repairs"),"Expense","Non-Deductible")))</f>
        <v/>
      </c>
      <c r="G6" t="inlineStr">
        <is>
          <t>Expense</t>
        </is>
      </c>
      <c r="H6">
        <f>IF(G6&lt;&gt;F6,"YES","NO")</f>
        <v/>
      </c>
      <c r="I6" t="inlineStr"/>
      <c r="J6" t="inlineStr"/>
    </row>
    <row r="7">
      <c r="A7" s="5" t="n">
        <v>45664</v>
      </c>
      <c r="B7" t="inlineStr">
        <is>
          <t>Other Withdrawals - Mobile Banking Transfer To Account 152316874980</t>
        </is>
      </c>
      <c r="C7" t="n">
        <v>15</v>
      </c>
      <c r="D7" t="inlineStr">
        <is>
          <t>Debit</t>
        </is>
      </c>
      <c r="E7" t="inlineStr">
        <is>
          <t>Transfer</t>
        </is>
      </c>
      <c r="F7">
        <f>IF(E7="Income","Revenue",IF(OR(E7="Materials",E7="Labor",E7="Dump Fees"),"COGS",IF(OR(E7="Fuel",E7="Insurance",E7="Tools",E7="Repairs"),"Expense","Non-Deductible")))</f>
        <v/>
      </c>
      <c r="G7" t="inlineStr">
        <is>
          <t>Non-Deductible</t>
        </is>
      </c>
      <c r="H7">
        <f>IF(G7&lt;&gt;F7,"YES","NO")</f>
        <v/>
      </c>
      <c r="I7" t="inlineStr"/>
      <c r="J7" t="inlineStr"/>
    </row>
    <row r="8">
      <c r="A8" s="5" t="n">
        <v>45665</v>
      </c>
      <c r="B8" t="inlineStr">
        <is>
          <t>Card Withdrawals - Debit Purchase - VISA On 010725 O FALLON IL 7001446395</t>
        </is>
      </c>
      <c r="C8" t="n">
        <v>2.19</v>
      </c>
      <c r="D8" t="inlineStr">
        <is>
          <t>Debit</t>
        </is>
      </c>
      <c r="E8" t="inlineStr">
        <is>
          <t>Tools</t>
        </is>
      </c>
      <c r="F8">
        <f>IF(E8="Income","Revenue",IF(OR(E8="Materials",E8="Labor",E8="Dump Fees"),"COGS",IF(OR(E8="Fuel",E8="Insurance",E8="Tools",E8="Repairs"),"Expense","Non-Deductible")))</f>
        <v/>
      </c>
      <c r="G8" t="inlineStr">
        <is>
          <t>Expense</t>
        </is>
      </c>
      <c r="H8">
        <f>IF(G8&lt;&gt;F8,"YES","NO")</f>
        <v/>
      </c>
      <c r="I8" t="inlineStr"/>
      <c r="J8" t="inlineStr"/>
    </row>
    <row r="9">
      <c r="A9" s="5" t="n">
        <v>45665</v>
      </c>
      <c r="B9" t="inlineStr">
        <is>
          <t>Other Deposits - Debit Purchase Ret - VISA On 010725 8664244197 IL 7063781288 $</t>
        </is>
      </c>
      <c r="C9" t="n">
        <v>13.78</v>
      </c>
      <c r="D9" t="inlineStr">
        <is>
          <t>Credit</t>
        </is>
      </c>
      <c r="E9" t="inlineStr">
        <is>
          <t>Income</t>
        </is>
      </c>
      <c r="F9">
        <f>IF(E9="Income","Revenue",IF(OR(E9="Materials",E9="Labor",E9="Dump Fees"),"COGS",IF(OR(E9="Fuel",E9="Insurance",E9="Tools",E9="Repairs"),"Expense","Non-Deductible")))</f>
        <v/>
      </c>
      <c r="G9" t="inlineStr">
        <is>
          <t>Revenue</t>
        </is>
      </c>
      <c r="H9">
        <f>IF(G9&lt;&gt;F9,"YES","NO")</f>
        <v/>
      </c>
      <c r="I9" t="inlineStr"/>
      <c r="J9" t="inlineStr"/>
    </row>
    <row r="10">
      <c r="A10" s="5" t="n">
        <v>45665</v>
      </c>
      <c r="B10" t="inlineStr">
        <is>
          <t>Other Withdrawals - Electronic Withdrawal To Mission Lane LLC</t>
        </is>
      </c>
      <c r="C10" t="n">
        <v>67.44</v>
      </c>
      <c r="D10" t="inlineStr">
        <is>
          <t>Debit</t>
        </is>
      </c>
      <c r="E10" t="inlineStr">
        <is>
          <t>Tools</t>
        </is>
      </c>
      <c r="F10">
        <f>IF(E10="Income","Revenue",IF(OR(E10="Materials",E10="Labor",E10="Dump Fees"),"COGS",IF(OR(E10="Fuel",E10="Insurance",E10="Tools",E10="Repairs"),"Expense","Non-Deductible")))</f>
        <v/>
      </c>
      <c r="G10" t="inlineStr">
        <is>
          <t>Expense</t>
        </is>
      </c>
      <c r="H10">
        <f>IF(G10&lt;&gt;F10,"YES","NO")</f>
        <v/>
      </c>
      <c r="I10" t="inlineStr"/>
      <c r="J10" t="inlineStr"/>
    </row>
    <row r="11">
      <c r="A11" s="5" t="n">
        <v>45666</v>
      </c>
      <c r="B11" t="inlineStr">
        <is>
          <t>Card Withdrawals - Debit Purchase - VISA On 010725 618-2869595 IL 8109867096</t>
        </is>
      </c>
      <c r="C11" t="n">
        <v>440</v>
      </c>
      <c r="D11" t="inlineStr">
        <is>
          <t>Debit</t>
        </is>
      </c>
      <c r="E11" t="inlineStr">
        <is>
          <t>Tools</t>
        </is>
      </c>
      <c r="F11">
        <f>IF(E11="Income","Revenue",IF(OR(E11="Materials",E11="Labor",E11="Dump Fees"),"COGS",IF(OR(E11="Fuel",E11="Insurance",E11="Tools",E11="Repairs"),"Expense","Non-Deductible")))</f>
        <v/>
      </c>
      <c r="G11" t="inlineStr">
        <is>
          <t>Expense</t>
        </is>
      </c>
      <c r="H11">
        <f>IF(G11&lt;&gt;F11,"YES","NO")</f>
        <v/>
      </c>
      <c r="I11" t="inlineStr"/>
      <c r="J11" t="inlineStr"/>
    </row>
    <row r="12">
      <c r="A12" s="5" t="n">
        <v>45666</v>
      </c>
      <c r="B12" t="inlineStr">
        <is>
          <t>Other Withdrawals - Zelle Instant PMT To Brian Davis</t>
        </is>
      </c>
      <c r="C12" t="n">
        <v>80</v>
      </c>
      <c r="D12" t="inlineStr">
        <is>
          <t>Debit</t>
        </is>
      </c>
      <c r="E12" t="inlineStr">
        <is>
          <t>Labor</t>
        </is>
      </c>
      <c r="F12">
        <f>IF(E12="Income","Revenue",IF(OR(E12="Materials",E12="Labor",E12="Dump Fees"),"COGS",IF(OR(E12="Fuel",E12="Insurance",E12="Tools",E12="Repairs"),"Expense","Non-Deductible")))</f>
        <v/>
      </c>
      <c r="G12" t="inlineStr">
        <is>
          <t>COGS</t>
        </is>
      </c>
      <c r="H12">
        <f>IF(G12&lt;&gt;F12,"YES","NO")</f>
        <v/>
      </c>
      <c r="I12" t="inlineStr"/>
      <c r="J12" t="inlineStr">
        <is>
          <t>Bryan</t>
        </is>
      </c>
    </row>
    <row r="13">
      <c r="A13" s="5" t="n">
        <v>45667</v>
      </c>
      <c r="B13" t="inlineStr">
        <is>
          <t>Card Withdrawals - Debit Purchase MOTOMART FREEBURG IL</t>
        </is>
      </c>
      <c r="C13" t="n">
        <v>61.97</v>
      </c>
      <c r="D13" t="inlineStr">
        <is>
          <t>Debit</t>
        </is>
      </c>
      <c r="E13" t="inlineStr">
        <is>
          <t>Tools</t>
        </is>
      </c>
      <c r="F13">
        <f>IF(E13="Income","Revenue",IF(OR(E13="Materials",E13="Labor",E13="Dump Fees"),"COGS",IF(OR(E13="Fuel",E13="Insurance",E13="Tools",E13="Repairs"),"Expense","Non-Deductible")))</f>
        <v/>
      </c>
      <c r="G13" t="inlineStr">
        <is>
          <t>Expense</t>
        </is>
      </c>
      <c r="H13">
        <f>IF(G13&lt;&gt;F13,"YES","NO")</f>
        <v/>
      </c>
      <c r="I13" t="inlineStr"/>
      <c r="J13" t="inlineStr"/>
    </row>
    <row r="14">
      <c r="A14" s="5" t="n">
        <v>45667</v>
      </c>
      <c r="B14" t="inlineStr">
        <is>
          <t>Other Withdrawals - Mobile Banking Transfer To Account 152316875235</t>
        </is>
      </c>
      <c r="C14" t="n">
        <v>300</v>
      </c>
      <c r="D14" t="inlineStr">
        <is>
          <t>Debit</t>
        </is>
      </c>
      <c r="E14" t="inlineStr">
        <is>
          <t>Transfer</t>
        </is>
      </c>
      <c r="F14">
        <f>IF(E14="Income","Revenue",IF(OR(E14="Materials",E14="Labor",E14="Dump Fees"),"COGS",IF(OR(E14="Fuel",E14="Insurance",E14="Tools",E14="Repairs"),"Expense","Non-Deductible")))</f>
        <v/>
      </c>
      <c r="G14" t="inlineStr">
        <is>
          <t>Non-Deductible</t>
        </is>
      </c>
      <c r="H14">
        <f>IF(G14&lt;&gt;F14,"YES","NO")</f>
        <v/>
      </c>
      <c r="I14" t="inlineStr"/>
      <c r="J14" t="inlineStr"/>
    </row>
    <row r="15">
      <c r="A15" s="5" t="n">
        <v>45667</v>
      </c>
      <c r="B15" t="inlineStr">
        <is>
          <t>Other Withdrawals - Zelle Instant PMT To Brian Davis</t>
        </is>
      </c>
      <c r="C15" t="n">
        <v>945</v>
      </c>
      <c r="D15" t="inlineStr">
        <is>
          <t>Debit</t>
        </is>
      </c>
      <c r="E15" t="inlineStr">
        <is>
          <t>Labor</t>
        </is>
      </c>
      <c r="F15">
        <f>IF(E15="Income","Revenue",IF(OR(E15="Materials",E15="Labor",E15="Dump Fees"),"COGS",IF(OR(E15="Fuel",E15="Insurance",E15="Tools",E15="Repairs"),"Expense","Non-Deductible")))</f>
        <v/>
      </c>
      <c r="G15" t="inlineStr">
        <is>
          <t>COGS</t>
        </is>
      </c>
      <c r="H15">
        <f>IF(G15&lt;&gt;F15,"YES","NO")</f>
        <v/>
      </c>
      <c r="I15" t="inlineStr"/>
      <c r="J15" t="inlineStr">
        <is>
          <t>Bryan</t>
        </is>
      </c>
    </row>
    <row r="16">
      <c r="A16" s="5" t="n">
        <v>45667</v>
      </c>
      <c r="B16" t="inlineStr">
        <is>
          <t>Other Withdrawals - Zelle Instant PMT To Casey Williamson</t>
        </is>
      </c>
      <c r="C16" t="n">
        <v>575</v>
      </c>
      <c r="D16" t="inlineStr">
        <is>
          <t>Debit</t>
        </is>
      </c>
      <c r="E16" t="inlineStr">
        <is>
          <t>Labor</t>
        </is>
      </c>
      <c r="F16">
        <f>IF(E16="Income","Revenue",IF(OR(E16="Materials",E16="Labor",E16="Dump Fees"),"COGS",IF(OR(E16="Fuel",E16="Insurance",E16="Tools",E16="Repairs"),"Expense","Non-Deductible")))</f>
        <v/>
      </c>
      <c r="G16" t="inlineStr">
        <is>
          <t>COGS</t>
        </is>
      </c>
      <c r="H16">
        <f>IF(G16&lt;&gt;F16,"YES","NO")</f>
        <v/>
      </c>
      <c r="I16" t="inlineStr"/>
      <c r="J16" t="inlineStr">
        <is>
          <t>Casey</t>
        </is>
      </c>
    </row>
    <row r="17">
      <c r="A17" s="5" t="n">
        <v>45670</v>
      </c>
      <c r="B17" t="inlineStr">
        <is>
          <t>Card Withdrawals - ATM Withdrawal 300 S GREEN MOUN BELLEVILLE IL</t>
        </is>
      </c>
      <c r="C17" t="n">
        <v>103.95</v>
      </c>
      <c r="D17" t="inlineStr">
        <is>
          <t>Debit</t>
        </is>
      </c>
      <c r="E17" t="inlineStr">
        <is>
          <t>Tools</t>
        </is>
      </c>
      <c r="F17">
        <f>IF(E17="Income","Revenue",IF(OR(E17="Materials",E17="Labor",E17="Dump Fees"),"COGS",IF(OR(E17="Fuel",E17="Insurance",E17="Tools",E17="Repairs"),"Expense","Non-Deductible")))</f>
        <v/>
      </c>
      <c r="G17" t="inlineStr">
        <is>
          <t>Expense</t>
        </is>
      </c>
      <c r="H17">
        <f>IF(G17&lt;&gt;F17,"YES","NO")</f>
        <v/>
      </c>
      <c r="I17" t="inlineStr"/>
      <c r="J17" t="inlineStr"/>
    </row>
    <row r="18">
      <c r="A18" s="5" t="n">
        <v>45670</v>
      </c>
      <c r="B18" t="inlineStr">
        <is>
          <t>Card Withdrawals - Debit Purchase - VISA On 011125 Visa Direct NY 1000183320</t>
        </is>
      </c>
      <c r="C18" t="n">
        <v>100</v>
      </c>
      <c r="D18" t="inlineStr">
        <is>
          <t>Debit</t>
        </is>
      </c>
      <c r="E18" t="inlineStr">
        <is>
          <t>Tools</t>
        </is>
      </c>
      <c r="F18">
        <f>IF(E18="Income","Revenue",IF(OR(E18="Materials",E18="Labor",E18="Dump Fees"),"COGS",IF(OR(E18="Fuel",E18="Insurance",E18="Tools",E18="Repairs"),"Expense","Non-Deductible")))</f>
        <v/>
      </c>
      <c r="G18" t="inlineStr">
        <is>
          <t>Expense</t>
        </is>
      </c>
      <c r="H18">
        <f>IF(G18&lt;&gt;F18,"YES","NO")</f>
        <v/>
      </c>
      <c r="I18" t="inlineStr"/>
      <c r="J18" t="inlineStr"/>
    </row>
    <row r="19">
      <c r="A19" s="5" t="n">
        <v>45670</v>
      </c>
      <c r="B19" t="inlineStr">
        <is>
          <t>Card Withdrawals - Debit Purchase CIRCLE K # 01361 BELLEVILLE IL</t>
        </is>
      </c>
      <c r="C19" t="n">
        <v>27.01</v>
      </c>
      <c r="D19" t="inlineStr">
        <is>
          <t>Debit</t>
        </is>
      </c>
      <c r="E19" t="inlineStr">
        <is>
          <t>Tools</t>
        </is>
      </c>
      <c r="F19">
        <f>IF(E19="Income","Revenue",IF(OR(E19="Materials",E19="Labor",E19="Dump Fees"),"COGS",IF(OR(E19="Fuel",E19="Insurance",E19="Tools",E19="Repairs"),"Expense","Non-Deductible")))</f>
        <v/>
      </c>
      <c r="G19" t="inlineStr">
        <is>
          <t>Expense</t>
        </is>
      </c>
      <c r="H19">
        <f>IF(G19&lt;&gt;F19,"YES","NO")</f>
        <v/>
      </c>
      <c r="I19" t="inlineStr"/>
      <c r="J19" t="inlineStr"/>
    </row>
    <row r="20">
      <c r="A20" s="5" t="n">
        <v>45670</v>
      </c>
      <c r="B20" t="inlineStr">
        <is>
          <t>Card Withdrawals - Debit Purchase MOTOMART FREEBURG IL</t>
        </is>
      </c>
      <c r="C20" t="n">
        <v>87.64</v>
      </c>
      <c r="D20" t="inlineStr">
        <is>
          <t>Debit</t>
        </is>
      </c>
      <c r="E20" t="inlineStr">
        <is>
          <t>Tools</t>
        </is>
      </c>
      <c r="F20">
        <f>IF(E20="Income","Revenue",IF(OR(E20="Materials",E20="Labor",E20="Dump Fees"),"COGS",IF(OR(E20="Fuel",E20="Insurance",E20="Tools",E20="Repairs"),"Expense","Non-Deductible")))</f>
        <v/>
      </c>
      <c r="G20" t="inlineStr">
        <is>
          <t>Expense</t>
        </is>
      </c>
      <c r="H20">
        <f>IF(G20&lt;&gt;F20,"YES","NO")</f>
        <v/>
      </c>
      <c r="I20" t="inlineStr"/>
      <c r="J20" t="inlineStr"/>
    </row>
    <row r="21">
      <c r="A21" s="5" t="n">
        <v>45670</v>
      </c>
      <c r="B21" t="inlineStr">
        <is>
          <t>Card Withdrawals - Debit Purchase THE HOME DEPOT # BELLEVILLE IL 6901111158</t>
        </is>
      </c>
      <c r="C21" t="n">
        <v>371.21</v>
      </c>
      <c r="D21" t="inlineStr">
        <is>
          <t>Debit</t>
        </is>
      </c>
      <c r="E21" t="inlineStr">
        <is>
          <t>Materials</t>
        </is>
      </c>
      <c r="F21">
        <f>IF(E21="Income","Revenue",IF(OR(E21="Materials",E21="Labor",E21="Dump Fees"),"COGS",IF(OR(E21="Fuel",E21="Insurance",E21="Tools",E21="Repairs"),"Expense","Non-Deductible")))</f>
        <v/>
      </c>
      <c r="G21" t="inlineStr">
        <is>
          <t>COGS</t>
        </is>
      </c>
      <c r="H21">
        <f>IF(G21&lt;&gt;F21,"YES","NO")</f>
        <v/>
      </c>
      <c r="I21" t="inlineStr"/>
      <c r="J21" t="inlineStr"/>
    </row>
    <row r="22">
      <c r="A22" s="5" t="n">
        <v>45670</v>
      </c>
      <c r="B22" t="inlineStr">
        <is>
          <t>Card Withdrawals - Fee ATM Withdrawal At Other Network 1300000717 $</t>
        </is>
      </c>
      <c r="C22" t="n">
        <v>2.5</v>
      </c>
      <c r="D22" t="inlineStr">
        <is>
          <t>Debit</t>
        </is>
      </c>
      <c r="E22" t="inlineStr">
        <is>
          <t>Tools</t>
        </is>
      </c>
      <c r="F22">
        <f>IF(E22="Income","Revenue",IF(OR(E22="Materials",E22="Labor",E22="Dump Fees"),"COGS",IF(OR(E22="Fuel",E22="Insurance",E22="Tools",E22="Repairs"),"Expense","Non-Deductible")))</f>
        <v/>
      </c>
      <c r="G22" t="inlineStr">
        <is>
          <t>Expense</t>
        </is>
      </c>
      <c r="H22">
        <f>IF(G22&lt;&gt;F22,"YES","NO")</f>
        <v/>
      </c>
      <c r="I22" t="inlineStr"/>
      <c r="J22" t="inlineStr"/>
    </row>
    <row r="23">
      <c r="A23" s="5" t="n">
        <v>45670</v>
      </c>
      <c r="B23" t="inlineStr">
        <is>
          <t>Other Withdrawals - Electronic Withdrawal To MERCURY CARD FBT</t>
        </is>
      </c>
      <c r="C23" t="n">
        <v>573.53</v>
      </c>
      <c r="D23" t="inlineStr">
        <is>
          <t>Debit</t>
        </is>
      </c>
      <c r="E23" t="inlineStr">
        <is>
          <t>Tools</t>
        </is>
      </c>
      <c r="F23">
        <f>IF(E23="Income","Revenue",IF(OR(E23="Materials",E23="Labor",E23="Dump Fees"),"COGS",IF(OR(E23="Fuel",E23="Insurance",E23="Tools",E23="Repairs"),"Expense","Non-Deductible")))</f>
        <v/>
      </c>
      <c r="G23" t="inlineStr">
        <is>
          <t>Expense</t>
        </is>
      </c>
      <c r="H23">
        <f>IF(G23&lt;&gt;F23,"YES","NO")</f>
        <v/>
      </c>
      <c r="I23" t="inlineStr"/>
      <c r="J23" t="inlineStr"/>
    </row>
    <row r="24">
      <c r="A24" s="5" t="n">
        <v>45672</v>
      </c>
      <c r="B24" t="inlineStr">
        <is>
          <t>Card Withdrawals - Debit Purchase - VISA On 011425 618-2330303 IL 5006499752</t>
        </is>
      </c>
      <c r="C24" t="n">
        <v>74.54000000000001</v>
      </c>
      <c r="D24" t="inlineStr">
        <is>
          <t>Debit</t>
        </is>
      </c>
      <c r="E24" t="inlineStr">
        <is>
          <t>Tools</t>
        </is>
      </c>
      <c r="F24">
        <f>IF(E24="Income","Revenue",IF(OR(E24="Materials",E24="Labor",E24="Dump Fees"),"COGS",IF(OR(E24="Fuel",E24="Insurance",E24="Tools",E24="Repairs"),"Expense","Non-Deductible")))</f>
        <v/>
      </c>
      <c r="G24" t="inlineStr">
        <is>
          <t>Expense</t>
        </is>
      </c>
      <c r="H24">
        <f>IF(G24&lt;&gt;F24,"YES","NO")</f>
        <v/>
      </c>
      <c r="I24" t="inlineStr"/>
      <c r="J24" t="inlineStr"/>
    </row>
    <row r="25">
      <c r="A25" s="5" t="n">
        <v>45672</v>
      </c>
      <c r="B25" t="inlineStr">
        <is>
          <t>Card Withdrawals - Debit Purchase - VISA On 011425 FREEBURG IL 4720240094</t>
        </is>
      </c>
      <c r="C25" t="n">
        <v>3.6</v>
      </c>
      <c r="D25" t="inlineStr">
        <is>
          <t>Debit</t>
        </is>
      </c>
      <c r="E25" t="inlineStr">
        <is>
          <t>Tools</t>
        </is>
      </c>
      <c r="F25">
        <f>IF(E25="Income","Revenue",IF(OR(E25="Materials",E25="Labor",E25="Dump Fees"),"COGS",IF(OR(E25="Fuel",E25="Insurance",E25="Tools",E25="Repairs"),"Expense","Non-Deductible")))</f>
        <v/>
      </c>
      <c r="G25" t="inlineStr">
        <is>
          <t>Expense</t>
        </is>
      </c>
      <c r="H25">
        <f>IF(G25&lt;&gt;F25,"YES","NO")</f>
        <v/>
      </c>
      <c r="I25" t="inlineStr"/>
      <c r="J25" t="inlineStr"/>
    </row>
    <row r="26">
      <c r="A26" s="5" t="n">
        <v>45672</v>
      </c>
      <c r="B26" t="inlineStr">
        <is>
          <t>Card Withdrawals - Debit Purchase CIRCLE K # 01343 SHILOH IL</t>
        </is>
      </c>
      <c r="C26" t="n">
        <v>28.98</v>
      </c>
      <c r="D26" t="inlineStr">
        <is>
          <t>Debit</t>
        </is>
      </c>
      <c r="E26" t="inlineStr">
        <is>
          <t>Tools</t>
        </is>
      </c>
      <c r="F26">
        <f>IF(E26="Income","Revenue",IF(OR(E26="Materials",E26="Labor",E26="Dump Fees"),"COGS",IF(OR(E26="Fuel",E26="Insurance",E26="Tools",E26="Repairs"),"Expense","Non-Deductible")))</f>
        <v/>
      </c>
      <c r="G26" t="inlineStr">
        <is>
          <t>Expense</t>
        </is>
      </c>
      <c r="H26">
        <f>IF(G26&lt;&gt;F26,"YES","NO")</f>
        <v/>
      </c>
      <c r="I26" t="inlineStr"/>
      <c r="J26" t="inlineStr"/>
    </row>
    <row r="27">
      <c r="A27" s="5" t="n">
        <v>45672</v>
      </c>
      <c r="B27" t="inlineStr">
        <is>
          <t>Other Deposits - Mobile Check Deposit 8613623522</t>
        </is>
      </c>
      <c r="C27" t="n">
        <v>4400</v>
      </c>
      <c r="D27" t="inlineStr">
        <is>
          <t>Credit</t>
        </is>
      </c>
      <c r="E27" t="inlineStr">
        <is>
          <t>Income</t>
        </is>
      </c>
      <c r="F27">
        <f>IF(E27="Income","Revenue",IF(OR(E27="Materials",E27="Labor",E27="Dump Fees"),"COGS",IF(OR(E27="Fuel",E27="Insurance",E27="Tools",E27="Repairs"),"Expense","Non-Deductible")))</f>
        <v/>
      </c>
      <c r="G27" t="inlineStr">
        <is>
          <t>Revenue</t>
        </is>
      </c>
      <c r="H27">
        <f>IF(G27&lt;&gt;F27,"YES","NO")</f>
        <v/>
      </c>
      <c r="I27" t="inlineStr"/>
      <c r="J27" t="inlineStr"/>
    </row>
    <row r="28">
      <c r="A28" s="5" t="n">
        <v>45672</v>
      </c>
      <c r="B28" t="inlineStr">
        <is>
          <t>Other Withdrawals - Analysis Service Charge 1600000000</t>
        </is>
      </c>
      <c r="C28" t="n">
        <v>16</v>
      </c>
      <c r="D28" t="inlineStr">
        <is>
          <t>Debit</t>
        </is>
      </c>
      <c r="E28" t="inlineStr">
        <is>
          <t>Repairs</t>
        </is>
      </c>
      <c r="F28">
        <f>IF(E28="Income","Revenue",IF(OR(E28="Materials",E28="Labor",E28="Dump Fees"),"COGS",IF(OR(E28="Fuel",E28="Insurance",E28="Tools",E28="Repairs"),"Expense","Non-Deductible")))</f>
        <v/>
      </c>
      <c r="G28" t="inlineStr">
        <is>
          <t>Expense</t>
        </is>
      </c>
      <c r="H28">
        <f>IF(G28&lt;&gt;F28,"YES","NO")</f>
        <v/>
      </c>
      <c r="I28" t="inlineStr"/>
      <c r="J28" t="inlineStr"/>
    </row>
    <row r="29">
      <c r="A29" s="5" t="n">
        <v>45672</v>
      </c>
      <c r="B29" t="inlineStr">
        <is>
          <t>Other Withdrawals - Electronic Withdrawal To CATHOLIC CCU</t>
        </is>
      </c>
      <c r="C29" t="n">
        <v>572.5</v>
      </c>
      <c r="D29" t="inlineStr">
        <is>
          <t>Debit</t>
        </is>
      </c>
      <c r="E29" t="inlineStr">
        <is>
          <t>Tools</t>
        </is>
      </c>
      <c r="F29">
        <f>IF(E29="Income","Revenue",IF(OR(E29="Materials",E29="Labor",E29="Dump Fees"),"COGS",IF(OR(E29="Fuel",E29="Insurance",E29="Tools",E29="Repairs"),"Expense","Non-Deductible")))</f>
        <v/>
      </c>
      <c r="G29" t="inlineStr">
        <is>
          <t>Expense</t>
        </is>
      </c>
      <c r="H29">
        <f>IF(G29&lt;&gt;F29,"YES","NO")</f>
        <v/>
      </c>
      <c r="I29" t="inlineStr"/>
      <c r="J29" t="inlineStr"/>
    </row>
    <row r="30">
      <c r="A30" s="5" t="n">
        <v>45672</v>
      </c>
      <c r="B30" t="inlineStr">
        <is>
          <t>Other Withdrawals - Zelle Instant PMT To Tabitha Session</t>
        </is>
      </c>
      <c r="C30" t="n">
        <v>122</v>
      </c>
      <c r="D30" t="inlineStr">
        <is>
          <t>Debit</t>
        </is>
      </c>
      <c r="E30" t="inlineStr">
        <is>
          <t>Tools</t>
        </is>
      </c>
      <c r="F30">
        <f>IF(E30="Income","Revenue",IF(OR(E30="Materials",E30="Labor",E30="Dump Fees"),"COGS",IF(OR(E30="Fuel",E30="Insurance",E30="Tools",E30="Repairs"),"Expense","Non-Deductible")))</f>
        <v/>
      </c>
      <c r="G30" t="inlineStr">
        <is>
          <t>Expense</t>
        </is>
      </c>
      <c r="H30">
        <f>IF(G30&lt;&gt;F30,"YES","NO")</f>
        <v/>
      </c>
      <c r="I30" t="inlineStr"/>
      <c r="J30" t="inlineStr"/>
    </row>
    <row r="31">
      <c r="A31" s="5" t="n">
        <v>45673</v>
      </c>
      <c r="B31" t="inlineStr">
        <is>
          <t>Card Withdrawals - ATM Withdrawal 1291 OLD BALDWIN NEW ATHENS IL</t>
        </is>
      </c>
      <c r="C31" t="n">
        <v>103.25</v>
      </c>
      <c r="D31" t="inlineStr">
        <is>
          <t>Debit</t>
        </is>
      </c>
      <c r="E31" t="inlineStr">
        <is>
          <t>Tools</t>
        </is>
      </c>
      <c r="F31">
        <f>IF(E31="Income","Revenue",IF(OR(E31="Materials",E31="Labor",E31="Dump Fees"),"COGS",IF(OR(E31="Fuel",E31="Insurance",E31="Tools",E31="Repairs"),"Expense","Non-Deductible")))</f>
        <v/>
      </c>
      <c r="G31" t="inlineStr">
        <is>
          <t>Expense</t>
        </is>
      </c>
      <c r="H31">
        <f>IF(G31&lt;&gt;F31,"YES","NO")</f>
        <v/>
      </c>
      <c r="I31" t="inlineStr"/>
      <c r="J31" t="inlineStr"/>
    </row>
    <row r="32">
      <c r="A32" s="5" t="n">
        <v>45673</v>
      </c>
      <c r="B32" t="inlineStr">
        <is>
          <t>Card Withdrawals - Debit Purchase - VISA On 011425 BELLEVILLE IL 5500546066</t>
        </is>
      </c>
      <c r="C32" t="n">
        <v>10.68</v>
      </c>
      <c r="D32" t="inlineStr">
        <is>
          <t>Debit</t>
        </is>
      </c>
      <c r="E32" t="inlineStr">
        <is>
          <t>Tools</t>
        </is>
      </c>
      <c r="F32">
        <f>IF(E32="Income","Revenue",IF(OR(E32="Materials",E32="Labor",E32="Dump Fees"),"COGS",IF(OR(E32="Fuel",E32="Insurance",E32="Tools",E32="Repairs"),"Expense","Non-Deductible")))</f>
        <v/>
      </c>
      <c r="G32" t="inlineStr">
        <is>
          <t>Expense</t>
        </is>
      </c>
      <c r="H32">
        <f>IF(G32&lt;&gt;F32,"YES","NO")</f>
        <v/>
      </c>
      <c r="I32" t="inlineStr"/>
      <c r="J32" t="inlineStr"/>
    </row>
    <row r="33">
      <c r="A33" s="5" t="n">
        <v>45673</v>
      </c>
      <c r="B33" t="inlineStr">
        <is>
          <t>Card Withdrawals - Fee ATM Withdrawal At Other Network 1600000085</t>
        </is>
      </c>
      <c r="C33" t="n">
        <v>2.5</v>
      </c>
      <c r="D33" t="inlineStr">
        <is>
          <t>Debit</t>
        </is>
      </c>
      <c r="E33" t="inlineStr">
        <is>
          <t>Tools</t>
        </is>
      </c>
      <c r="F33">
        <f>IF(E33="Income","Revenue",IF(OR(E33="Materials",E33="Labor",E33="Dump Fees"),"COGS",IF(OR(E33="Fuel",E33="Insurance",E33="Tools",E33="Repairs"),"Expense","Non-Deductible")))</f>
        <v/>
      </c>
      <c r="G33" t="inlineStr">
        <is>
          <t>Expense</t>
        </is>
      </c>
      <c r="H33">
        <f>IF(G33&lt;&gt;F33,"YES","NO")</f>
        <v/>
      </c>
      <c r="I33" t="inlineStr"/>
      <c r="J33" t="inlineStr"/>
    </row>
    <row r="34">
      <c r="A34" s="5" t="n">
        <v>45673</v>
      </c>
      <c r="B34" t="inlineStr">
        <is>
          <t>Other Deposits - Mobile Banking Transfer From Account 152316874980</t>
        </is>
      </c>
      <c r="C34" t="n">
        <v>2700</v>
      </c>
      <c r="D34" t="inlineStr">
        <is>
          <t>Credit</t>
        </is>
      </c>
      <c r="E34" t="inlineStr">
        <is>
          <t>Transfer</t>
        </is>
      </c>
      <c r="F34">
        <f>IF(E34="Income","Revenue",IF(OR(E34="Materials",E34="Labor",E34="Dump Fees"),"COGS",IF(OR(E34="Fuel",E34="Insurance",E34="Tools",E34="Repairs"),"Expense","Non-Deductible")))</f>
        <v/>
      </c>
      <c r="G34" t="inlineStr">
        <is>
          <t>Non-Deductible</t>
        </is>
      </c>
      <c r="H34">
        <f>IF(G34&lt;&gt;F34,"YES","NO")</f>
        <v/>
      </c>
      <c r="I34" t="inlineStr"/>
      <c r="J34" t="inlineStr"/>
    </row>
    <row r="35">
      <c r="A35" s="5" t="n">
        <v>45673</v>
      </c>
      <c r="B35" t="inlineStr">
        <is>
          <t>Other Withdrawals - Mobile Banking Payment To Credit Card *************3424</t>
        </is>
      </c>
      <c r="C35" t="n">
        <v>1979.96</v>
      </c>
      <c r="D35" t="inlineStr">
        <is>
          <t>Debit</t>
        </is>
      </c>
      <c r="E35" t="inlineStr">
        <is>
          <t>Fuel</t>
        </is>
      </c>
      <c r="F35">
        <f>IF(E35="Income","Revenue",IF(OR(E35="Materials",E35="Labor",E35="Dump Fees"),"COGS",IF(OR(E35="Fuel",E35="Insurance",E35="Tools",E35="Repairs"),"Expense","Non-Deductible")))</f>
        <v/>
      </c>
      <c r="G35" t="inlineStr">
        <is>
          <t>Expense</t>
        </is>
      </c>
      <c r="H35">
        <f>IF(G35&lt;&gt;F35,"YES","NO")</f>
        <v/>
      </c>
      <c r="I35" t="inlineStr"/>
      <c r="J35" t="inlineStr"/>
    </row>
    <row r="36">
      <c r="A36" s="5" t="n">
        <v>45673</v>
      </c>
      <c r="B36" t="inlineStr">
        <is>
          <t>Other Withdrawals - Mobile Banking Transfer To Account 152316875235</t>
        </is>
      </c>
      <c r="C36" t="n">
        <v>500</v>
      </c>
      <c r="D36" t="inlineStr">
        <is>
          <t>Debit</t>
        </is>
      </c>
      <c r="E36" t="inlineStr">
        <is>
          <t>Transfer</t>
        </is>
      </c>
      <c r="F36">
        <f>IF(E36="Income","Revenue",IF(OR(E36="Materials",E36="Labor",E36="Dump Fees"),"COGS",IF(OR(E36="Fuel",E36="Insurance",E36="Tools",E36="Repairs"),"Expense","Non-Deductible")))</f>
        <v/>
      </c>
      <c r="G36" t="inlineStr">
        <is>
          <t>Non-Deductible</t>
        </is>
      </c>
      <c r="H36">
        <f>IF(G36&lt;&gt;F36,"YES","NO")</f>
        <v/>
      </c>
      <c r="I36" t="inlineStr"/>
      <c r="J36" t="inlineStr"/>
    </row>
    <row r="37">
      <c r="A37" s="5" t="n">
        <v>45674</v>
      </c>
      <c r="B37" t="inlineStr">
        <is>
          <t>Card Withdrawals - Debit Purchase MOTOMART FREEBURG IL</t>
        </is>
      </c>
      <c r="C37" t="n">
        <v>12.7</v>
      </c>
      <c r="D37" t="inlineStr">
        <is>
          <t>Debit</t>
        </is>
      </c>
      <c r="E37" t="inlineStr">
        <is>
          <t>Tools</t>
        </is>
      </c>
      <c r="F37">
        <f>IF(E37="Income","Revenue",IF(OR(E37="Materials",E37="Labor",E37="Dump Fees"),"COGS",IF(OR(E37="Fuel",E37="Insurance",E37="Tools",E37="Repairs"),"Expense","Non-Deductible")))</f>
        <v/>
      </c>
      <c r="G37" t="inlineStr">
        <is>
          <t>Expense</t>
        </is>
      </c>
      <c r="H37">
        <f>IF(G37&lt;&gt;F37,"YES","NO")</f>
        <v/>
      </c>
      <c r="I37" t="inlineStr"/>
      <c r="J37" t="inlineStr"/>
    </row>
    <row r="38">
      <c r="A38" s="5" t="n">
        <v>45674</v>
      </c>
      <c r="B38" t="inlineStr">
        <is>
          <t>Card Withdrawals - Debit Purchase MOTOMART FREEBURG IL</t>
        </is>
      </c>
      <c r="C38" t="n">
        <v>85.87</v>
      </c>
      <c r="D38" t="inlineStr">
        <is>
          <t>Debit</t>
        </is>
      </c>
      <c r="E38" t="inlineStr">
        <is>
          <t>Tools</t>
        </is>
      </c>
      <c r="F38">
        <f>IF(E38="Income","Revenue",IF(OR(E38="Materials",E38="Labor",E38="Dump Fees"),"COGS",IF(OR(E38="Fuel",E38="Insurance",E38="Tools",E38="Repairs"),"Expense","Non-Deductible")))</f>
        <v/>
      </c>
      <c r="G38" t="inlineStr">
        <is>
          <t>Expense</t>
        </is>
      </c>
      <c r="H38">
        <f>IF(G38&lt;&gt;F38,"YES","NO")</f>
        <v/>
      </c>
      <c r="I38" t="inlineStr"/>
      <c r="J38" t="inlineStr"/>
    </row>
    <row r="39">
      <c r="A39" s="5" t="n">
        <v>45674</v>
      </c>
      <c r="B39" t="inlineStr">
        <is>
          <t>Other Withdrawals - Electronic Withdrawal To MIDLAND MTG</t>
        </is>
      </c>
      <c r="C39" t="n">
        <v>1089.56</v>
      </c>
      <c r="D39" t="inlineStr">
        <is>
          <t>Debit</t>
        </is>
      </c>
      <c r="E39" t="inlineStr">
        <is>
          <t>Tools</t>
        </is>
      </c>
      <c r="F39">
        <f>IF(E39="Income","Revenue",IF(OR(E39="Materials",E39="Labor",E39="Dump Fees"),"COGS",IF(OR(E39="Fuel",E39="Insurance",E39="Tools",E39="Repairs"),"Expense","Non-Deductible")))</f>
        <v/>
      </c>
      <c r="G39" t="inlineStr">
        <is>
          <t>Expense</t>
        </is>
      </c>
      <c r="H39">
        <f>IF(G39&lt;&gt;F39,"YES","NO")</f>
        <v/>
      </c>
      <c r="I39" t="inlineStr"/>
      <c r="J39" t="inlineStr"/>
    </row>
    <row r="40">
      <c r="A40" s="5" t="n">
        <v>45674</v>
      </c>
      <c r="B40" t="inlineStr">
        <is>
          <t>Other Withdrawals - Zelle Instant PMT To BRIAN DAVIS</t>
        </is>
      </c>
      <c r="C40" t="n">
        <v>1330</v>
      </c>
      <c r="D40" t="inlineStr">
        <is>
          <t>Debit</t>
        </is>
      </c>
      <c r="E40" t="inlineStr">
        <is>
          <t>Labor</t>
        </is>
      </c>
      <c r="F40">
        <f>IF(E40="Income","Revenue",IF(OR(E40="Materials",E40="Labor",E40="Dump Fees"),"COGS",IF(OR(E40="Fuel",E40="Insurance",E40="Tools",E40="Repairs"),"Expense","Non-Deductible")))</f>
        <v/>
      </c>
      <c r="G40" t="inlineStr">
        <is>
          <t>COGS</t>
        </is>
      </c>
      <c r="H40">
        <f>IF(G40&lt;&gt;F40,"YES","NO")</f>
        <v/>
      </c>
      <c r="I40" t="inlineStr"/>
      <c r="J40" t="inlineStr">
        <is>
          <t>Bryan</t>
        </is>
      </c>
    </row>
    <row r="41">
      <c r="A41" s="5" t="n">
        <v>45674</v>
      </c>
      <c r="B41" t="inlineStr">
        <is>
          <t>Other Withdrawals - Zelle Instant PMT To Casey Williamson</t>
        </is>
      </c>
      <c r="C41" t="n">
        <v>600</v>
      </c>
      <c r="D41" t="inlineStr">
        <is>
          <t>Debit</t>
        </is>
      </c>
      <c r="E41" t="inlineStr">
        <is>
          <t>Labor</t>
        </is>
      </c>
      <c r="F41">
        <f>IF(E41="Income","Revenue",IF(OR(E41="Materials",E41="Labor",E41="Dump Fees"),"COGS",IF(OR(E41="Fuel",E41="Insurance",E41="Tools",E41="Repairs"),"Expense","Non-Deductible")))</f>
        <v/>
      </c>
      <c r="G41" t="inlineStr">
        <is>
          <t>COGS</t>
        </is>
      </c>
      <c r="H41">
        <f>IF(G41&lt;&gt;F41,"YES","NO")</f>
        <v/>
      </c>
      <c r="I41" t="inlineStr"/>
      <c r="J41" t="inlineStr">
        <is>
          <t>Casey</t>
        </is>
      </c>
    </row>
    <row r="42">
      <c r="A42" s="5" t="n">
        <v>45674</v>
      </c>
      <c r="B42" t="inlineStr">
        <is>
          <t>Other Withdrawals - Zelle Instant PMT To Nadia Session</t>
        </is>
      </c>
      <c r="C42" t="n">
        <v>100</v>
      </c>
      <c r="D42" t="inlineStr">
        <is>
          <t>Debit</t>
        </is>
      </c>
      <c r="E42" t="inlineStr">
        <is>
          <t>Tools</t>
        </is>
      </c>
      <c r="F42">
        <f>IF(E42="Income","Revenue",IF(OR(E42="Materials",E42="Labor",E42="Dump Fees"),"COGS",IF(OR(E42="Fuel",E42="Insurance",E42="Tools",E42="Repairs"),"Expense","Non-Deductible")))</f>
        <v/>
      </c>
      <c r="G42" t="inlineStr">
        <is>
          <t>Expense</t>
        </is>
      </c>
      <c r="H42">
        <f>IF(G42&lt;&gt;F42,"YES","NO")</f>
        <v/>
      </c>
      <c r="I42" t="inlineStr"/>
      <c r="J42" t="inlineStr"/>
    </row>
    <row r="43">
      <c r="A43" s="5" t="n">
        <v>45678</v>
      </c>
      <c r="B43" t="inlineStr">
        <is>
          <t>Card Withdrawals - Debit Purchase DOLLAR-GENERAL # FREEBURG IL 2301191431</t>
        </is>
      </c>
      <c r="C43" t="n">
        <v>87.41</v>
      </c>
      <c r="D43" t="inlineStr">
        <is>
          <t>Debit</t>
        </is>
      </c>
      <c r="E43" t="inlineStr">
        <is>
          <t>Tools</t>
        </is>
      </c>
      <c r="F43">
        <f>IF(E43="Income","Revenue",IF(OR(E43="Materials",E43="Labor",E43="Dump Fees"),"COGS",IF(OR(E43="Fuel",E43="Insurance",E43="Tools",E43="Repairs"),"Expense","Non-Deductible")))</f>
        <v/>
      </c>
      <c r="G43" t="inlineStr">
        <is>
          <t>Expense</t>
        </is>
      </c>
      <c r="H43">
        <f>IF(G43&lt;&gt;F43,"YES","NO")</f>
        <v/>
      </c>
      <c r="I43" t="inlineStr"/>
      <c r="J43" t="inlineStr"/>
    </row>
    <row r="44">
      <c r="A44" s="5" t="n">
        <v>45678</v>
      </c>
      <c r="B44" t="inlineStr">
        <is>
          <t>Card Withdrawals - Debit Purchase verifyvend855-55 PROVIDENCE RI 1201201605</t>
        </is>
      </c>
      <c r="C44" t="n">
        <v>236</v>
      </c>
      <c r="D44" t="inlineStr">
        <is>
          <t>Debit</t>
        </is>
      </c>
      <c r="E44" t="inlineStr">
        <is>
          <t>Tools</t>
        </is>
      </c>
      <c r="F44">
        <f>IF(E44="Income","Revenue",IF(OR(E44="Materials",E44="Labor",E44="Dump Fees"),"COGS",IF(OR(E44="Fuel",E44="Insurance",E44="Tools",E44="Repairs"),"Expense","Non-Deductible")))</f>
        <v/>
      </c>
      <c r="G44" t="inlineStr">
        <is>
          <t>Expense</t>
        </is>
      </c>
      <c r="H44">
        <f>IF(G44&lt;&gt;F44,"YES","NO")</f>
        <v/>
      </c>
      <c r="I44" t="inlineStr"/>
      <c r="J44" t="inlineStr"/>
    </row>
    <row r="45">
      <c r="A45" s="5" t="n">
        <v>45680</v>
      </c>
      <c r="B45" t="inlineStr">
        <is>
          <t>Other Withdrawals - Mobile Banking Transfer To Account 152316874980</t>
        </is>
      </c>
      <c r="C45" t="n">
        <v>66</v>
      </c>
      <c r="D45" t="inlineStr">
        <is>
          <t>Debit</t>
        </is>
      </c>
      <c r="E45" t="inlineStr">
        <is>
          <t>Transfer</t>
        </is>
      </c>
      <c r="F45">
        <f>IF(E45="Income","Revenue",IF(OR(E45="Materials",E45="Labor",E45="Dump Fees"),"COGS",IF(OR(E45="Fuel",E45="Insurance",E45="Tools",E45="Repairs"),"Expense","Non-Deductible")))</f>
        <v/>
      </c>
      <c r="G45" t="inlineStr">
        <is>
          <t>Non-Deductible</t>
        </is>
      </c>
      <c r="H45">
        <f>IF(G45&lt;&gt;F45,"YES","NO")</f>
        <v/>
      </c>
      <c r="I45" t="inlineStr"/>
      <c r="J45" t="inlineStr"/>
    </row>
    <row r="46">
      <c r="A46" s="5" t="n">
        <v>45681</v>
      </c>
      <c r="B46" t="inlineStr">
        <is>
          <t>Other Withdrawals - Mobile Banking Transfer To Account 152316875235</t>
        </is>
      </c>
      <c r="C46" t="n">
        <v>850</v>
      </c>
      <c r="D46" t="inlineStr">
        <is>
          <t>Debit</t>
        </is>
      </c>
      <c r="E46" t="inlineStr">
        <is>
          <t>Transfer</t>
        </is>
      </c>
      <c r="F46">
        <f>IF(E46="Income","Revenue",IF(OR(E46="Materials",E46="Labor",E46="Dump Fees"),"COGS",IF(OR(E46="Fuel",E46="Insurance",E46="Tools",E46="Repairs"),"Expense","Non-Deductible")))</f>
        <v/>
      </c>
      <c r="G46" t="inlineStr">
        <is>
          <t>Non-Deductible</t>
        </is>
      </c>
      <c r="H46">
        <f>IF(G46&lt;&gt;F46,"YES","NO")</f>
        <v/>
      </c>
      <c r="I46" t="inlineStr"/>
      <c r="J46" t="inlineStr"/>
    </row>
    <row r="47">
      <c r="A47" s="5" t="n">
        <v>45681</v>
      </c>
      <c r="B47" t="inlineStr">
        <is>
          <t>Other Withdrawals - Zelle Instant PMT To Brian Davis</t>
        </is>
      </c>
      <c r="C47" t="n">
        <v>890</v>
      </c>
      <c r="D47" t="inlineStr">
        <is>
          <t>Debit</t>
        </is>
      </c>
      <c r="E47" t="inlineStr">
        <is>
          <t>Labor</t>
        </is>
      </c>
      <c r="F47">
        <f>IF(E47="Income","Revenue",IF(OR(E47="Materials",E47="Labor",E47="Dump Fees"),"COGS",IF(OR(E47="Fuel",E47="Insurance",E47="Tools",E47="Repairs"),"Expense","Non-Deductible")))</f>
        <v/>
      </c>
      <c r="G47" t="inlineStr">
        <is>
          <t>COGS</t>
        </is>
      </c>
      <c r="H47">
        <f>IF(G47&lt;&gt;F47,"YES","NO")</f>
        <v/>
      </c>
      <c r="I47" t="inlineStr"/>
      <c r="J47" t="inlineStr">
        <is>
          <t>Bryan</t>
        </is>
      </c>
    </row>
    <row r="48">
      <c r="A48" s="5" t="n">
        <v>45681</v>
      </c>
      <c r="B48" t="inlineStr">
        <is>
          <t>Other Withdrawals - Zelle Instant PMT To Casey Williamson</t>
        </is>
      </c>
      <c r="C48" t="n">
        <v>200</v>
      </c>
      <c r="D48" t="inlineStr">
        <is>
          <t>Debit</t>
        </is>
      </c>
      <c r="E48" t="inlineStr">
        <is>
          <t>Labor</t>
        </is>
      </c>
      <c r="F48">
        <f>IF(E48="Income","Revenue",IF(OR(E48="Materials",E48="Labor",E48="Dump Fees"),"COGS",IF(OR(E48="Fuel",E48="Insurance",E48="Tools",E48="Repairs"),"Expense","Non-Deductible")))</f>
        <v/>
      </c>
      <c r="G48" t="inlineStr">
        <is>
          <t>COGS</t>
        </is>
      </c>
      <c r="H48">
        <f>IF(G48&lt;&gt;F48,"YES","NO")</f>
        <v/>
      </c>
      <c r="I48" t="inlineStr"/>
      <c r="J48" t="inlineStr">
        <is>
          <t>Casey</t>
        </is>
      </c>
    </row>
    <row r="49">
      <c r="A49" s="5" t="n">
        <v>45684</v>
      </c>
      <c r="B49" t="inlineStr">
        <is>
          <t>Card Withdrawals - Debit Purchase MOTOMART FREEBURG IL</t>
        </is>
      </c>
      <c r="C49" t="n">
        <v>86.56999999999999</v>
      </c>
      <c r="D49" t="inlineStr">
        <is>
          <t>Debit</t>
        </is>
      </c>
      <c r="E49" t="inlineStr">
        <is>
          <t>Tools</t>
        </is>
      </c>
      <c r="F49">
        <f>IF(E49="Income","Revenue",IF(OR(E49="Materials",E49="Labor",E49="Dump Fees"),"COGS",IF(OR(E49="Fuel",E49="Insurance",E49="Tools",E49="Repairs"),"Expense","Non-Deductible")))</f>
        <v/>
      </c>
      <c r="G49" t="inlineStr">
        <is>
          <t>Expense</t>
        </is>
      </c>
      <c r="H49">
        <f>IF(G49&lt;&gt;F49,"YES","NO")</f>
        <v/>
      </c>
      <c r="I49" t="inlineStr"/>
      <c r="J49" t="inlineStr"/>
    </row>
    <row r="50">
      <c r="A50" s="5" t="n">
        <v>45684</v>
      </c>
      <c r="B50" t="inlineStr">
        <is>
          <t>Card Withdrawals - Recurring Debit Purchase On 012525 888-270-2644 IN 6101039921</t>
        </is>
      </c>
      <c r="C50" t="n">
        <v>817.5</v>
      </c>
      <c r="D50" t="inlineStr">
        <is>
          <t>Debit</t>
        </is>
      </c>
      <c r="E50" t="inlineStr">
        <is>
          <t>Tools</t>
        </is>
      </c>
      <c r="F50">
        <f>IF(E50="Income","Revenue",IF(OR(E50="Materials",E50="Labor",E50="Dump Fees"),"COGS",IF(OR(E50="Fuel",E50="Insurance",E50="Tools",E50="Repairs"),"Expense","Non-Deductible")))</f>
        <v/>
      </c>
      <c r="G50" t="inlineStr">
        <is>
          <t>Expense</t>
        </is>
      </c>
      <c r="H50">
        <f>IF(G50&lt;&gt;F50,"YES","NO")</f>
        <v/>
      </c>
      <c r="I50" t="inlineStr"/>
      <c r="J50" t="inlineStr"/>
    </row>
    <row r="51">
      <c r="A51" s="5" t="n">
        <v>45685</v>
      </c>
      <c r="B51" t="inlineStr">
        <is>
          <t>Card Withdrawals - Debit Purchase MOTOMART FREEBURG IL</t>
        </is>
      </c>
      <c r="C51" t="n">
        <v>82.94</v>
      </c>
      <c r="D51" t="inlineStr">
        <is>
          <t>Debit</t>
        </is>
      </c>
      <c r="E51" t="inlineStr">
        <is>
          <t>Tools</t>
        </is>
      </c>
      <c r="F51">
        <f>IF(E51="Income","Revenue",IF(OR(E51="Materials",E51="Labor",E51="Dump Fees"),"COGS",IF(OR(E51="Fuel",E51="Insurance",E51="Tools",E51="Repairs"),"Expense","Non-Deductible")))</f>
        <v/>
      </c>
      <c r="G51" t="inlineStr">
        <is>
          <t>Expense</t>
        </is>
      </c>
      <c r="H51">
        <f>IF(G51&lt;&gt;F51,"YES","NO")</f>
        <v/>
      </c>
      <c r="I51" t="inlineStr"/>
      <c r="J51" t="inlineStr"/>
    </row>
    <row r="52">
      <c r="A52" s="5" t="n">
        <v>45688</v>
      </c>
      <c r="B52" t="inlineStr">
        <is>
          <t>Card Withdrawals - Recurring Debit Purchase On 013025 800-956-6310 IL 0140734882</t>
        </is>
      </c>
      <c r="C52" t="n">
        <v>328.76</v>
      </c>
      <c r="D52" t="inlineStr">
        <is>
          <t>Debit</t>
        </is>
      </c>
      <c r="E52" t="inlineStr">
        <is>
          <t>Tools</t>
        </is>
      </c>
      <c r="F52">
        <f>IF(E52="Income","Revenue",IF(OR(E52="Materials",E52="Labor",E52="Dump Fees"),"COGS",IF(OR(E52="Fuel",E52="Insurance",E52="Tools",E52="Repairs"),"Expense","Non-Deductible")))</f>
        <v/>
      </c>
      <c r="G52" t="inlineStr">
        <is>
          <t>Expense</t>
        </is>
      </c>
      <c r="H52">
        <f>IF(G52&lt;&gt;F52,"YES","NO")</f>
        <v/>
      </c>
      <c r="I52" t="inlineStr"/>
      <c r="J52" t="inlineStr"/>
    </row>
    <row r="53">
      <c r="A53" s="5" t="n">
        <v>45688</v>
      </c>
      <c r="B53" t="inlineStr">
        <is>
          <t>Other Withdrawals - Customer Withdrawal 9213013769</t>
        </is>
      </c>
      <c r="C53" t="n">
        <v>2000</v>
      </c>
      <c r="D53" t="inlineStr">
        <is>
          <t>Debit</t>
        </is>
      </c>
      <c r="E53" t="inlineStr">
        <is>
          <t>Tools</t>
        </is>
      </c>
      <c r="F53">
        <f>IF(E53="Income","Revenue",IF(OR(E53="Materials",E53="Labor",E53="Dump Fees"),"COGS",IF(OR(E53="Fuel",E53="Insurance",E53="Tools",E53="Repairs"),"Expense","Non-Deductible")))</f>
        <v/>
      </c>
      <c r="G53" t="inlineStr">
        <is>
          <t>Expense</t>
        </is>
      </c>
      <c r="H53">
        <f>IF(G53&lt;&gt;F53,"YES","NO")</f>
        <v/>
      </c>
      <c r="I53" t="inlineStr"/>
      <c r="J53" t="inlineStr"/>
    </row>
    <row r="54">
      <c r="A54" s="5" t="n">
        <v>45688</v>
      </c>
      <c r="B54" t="inlineStr">
        <is>
          <t>Other Withdrawals - Mobile Banking Transfer To Account 152316875235</t>
        </is>
      </c>
      <c r="C54" t="n">
        <v>750</v>
      </c>
      <c r="D54" t="inlineStr">
        <is>
          <t>Debit</t>
        </is>
      </c>
      <c r="E54" t="inlineStr">
        <is>
          <t>Transfer</t>
        </is>
      </c>
      <c r="F54">
        <f>IF(E54="Income","Revenue",IF(OR(E54="Materials",E54="Labor",E54="Dump Fees"),"COGS",IF(OR(E54="Fuel",E54="Insurance",E54="Tools",E54="Repairs"),"Expense","Non-Deductible")))</f>
        <v/>
      </c>
      <c r="G54" t="inlineStr">
        <is>
          <t>Non-Deductible</t>
        </is>
      </c>
      <c r="H54">
        <f>IF(G54&lt;&gt;F54,"YES","NO")</f>
        <v/>
      </c>
      <c r="I54" t="inlineStr"/>
      <c r="J54" t="inlineStr"/>
    </row>
    <row r="55">
      <c r="A55" s="5" t="n">
        <v>45688</v>
      </c>
      <c r="B55" t="inlineStr">
        <is>
          <t>Other Withdrawals - Zelle Instant PMT To Brian Davis</t>
        </is>
      </c>
      <c r="C55" t="n">
        <v>1450</v>
      </c>
      <c r="D55" t="inlineStr">
        <is>
          <t>Debit</t>
        </is>
      </c>
      <c r="E55" t="inlineStr">
        <is>
          <t>Labor</t>
        </is>
      </c>
      <c r="F55">
        <f>IF(E55="Income","Revenue",IF(OR(E55="Materials",E55="Labor",E55="Dump Fees"),"COGS",IF(OR(E55="Fuel",E55="Insurance",E55="Tools",E55="Repairs"),"Expense","Non-Deductible")))</f>
        <v/>
      </c>
      <c r="G55" t="inlineStr">
        <is>
          <t>COGS</t>
        </is>
      </c>
      <c r="H55">
        <f>IF(G55&lt;&gt;F55,"YES","NO")</f>
        <v/>
      </c>
      <c r="I55" t="inlineStr"/>
      <c r="J55" t="inlineStr">
        <is>
          <t>Bryan</t>
        </is>
      </c>
    </row>
    <row r="56">
      <c r="A56" s="5" t="n">
        <v>45688</v>
      </c>
      <c r="B56" t="inlineStr">
        <is>
          <t>Other Withdrawals - Zelle Instant PMT To Casey Williamson</t>
        </is>
      </c>
      <c r="C56" t="n">
        <v>800</v>
      </c>
      <c r="D56" t="inlineStr">
        <is>
          <t>Debit</t>
        </is>
      </c>
      <c r="E56" t="inlineStr">
        <is>
          <t>Labor</t>
        </is>
      </c>
      <c r="F56">
        <f>IF(E56="Income","Revenue",IF(OR(E56="Materials",E56="Labor",E56="Dump Fees"),"COGS",IF(OR(E56="Fuel",E56="Insurance",E56="Tools",E56="Repairs"),"Expense","Non-Deductible")))</f>
        <v/>
      </c>
      <c r="G56" t="inlineStr">
        <is>
          <t>COGS</t>
        </is>
      </c>
      <c r="H56">
        <f>IF(G56&lt;&gt;F56,"YES","NO")</f>
        <v/>
      </c>
      <c r="I56" t="inlineStr"/>
      <c r="J56" t="inlineStr">
        <is>
          <t>Casey</t>
        </is>
      </c>
    </row>
    <row r="57">
      <c r="A57" s="5" t="n">
        <v>45691</v>
      </c>
      <c r="B57" t="inlineStr">
        <is>
          <t>Card Withdrawals - ATM Withdrawal 1291 OLD BALDWIN NEW ATHENS IL</t>
        </is>
      </c>
      <c r="C57" t="n">
        <v>203.25</v>
      </c>
      <c r="D57" t="inlineStr">
        <is>
          <t>Debit</t>
        </is>
      </c>
      <c r="E57" t="inlineStr">
        <is>
          <t>Tools</t>
        </is>
      </c>
      <c r="F57">
        <f>IF(E57="Income","Revenue",IF(OR(E57="Materials",E57="Labor",E57="Dump Fees"),"COGS",IF(OR(E57="Fuel",E57="Insurance",E57="Tools",E57="Repairs"),"Expense","Non-Deductible")))</f>
        <v/>
      </c>
      <c r="G57" t="inlineStr">
        <is>
          <t>Expense</t>
        </is>
      </c>
      <c r="H57">
        <f>IF(G57&lt;&gt;F57,"YES","NO")</f>
        <v/>
      </c>
      <c r="I57" t="inlineStr"/>
      <c r="J57" t="inlineStr"/>
    </row>
    <row r="58">
      <c r="A58" s="5" t="n">
        <v>45691</v>
      </c>
      <c r="B58" t="inlineStr">
        <is>
          <t>Card Withdrawals - ATM Withdrawal 301 SALEM PL FAIRVIEW HEI IL</t>
        </is>
      </c>
      <c r="C58" t="n">
        <v>103.95</v>
      </c>
      <c r="D58" t="inlineStr">
        <is>
          <t>Debit</t>
        </is>
      </c>
      <c r="E58" t="inlineStr">
        <is>
          <t>Tools</t>
        </is>
      </c>
      <c r="F58">
        <f>IF(E58="Income","Revenue",IF(OR(E58="Materials",E58="Labor",E58="Dump Fees"),"COGS",IF(OR(E58="Fuel",E58="Insurance",E58="Tools",E58="Repairs"),"Expense","Non-Deductible")))</f>
        <v/>
      </c>
      <c r="G58" t="inlineStr">
        <is>
          <t>Expense</t>
        </is>
      </c>
      <c r="H58">
        <f>IF(G58&lt;&gt;F58,"YES","NO")</f>
        <v/>
      </c>
      <c r="I58" t="inlineStr"/>
      <c r="J58" t="inlineStr"/>
    </row>
    <row r="59">
      <c r="A59" s="5" t="n">
        <v>45691</v>
      </c>
      <c r="B59" t="inlineStr">
        <is>
          <t>Card Withdrawals - Debit Purchase CIRCLE K 01594 3 FAIRVIEW HEIIL $</t>
        </is>
      </c>
      <c r="C59" t="n">
        <v>93.23</v>
      </c>
      <c r="D59" t="inlineStr">
        <is>
          <t>Debit</t>
        </is>
      </c>
      <c r="E59" t="inlineStr">
        <is>
          <t>Tools</t>
        </is>
      </c>
      <c r="F59">
        <f>IF(E59="Income","Revenue",IF(OR(E59="Materials",E59="Labor",E59="Dump Fees"),"COGS",IF(OR(E59="Fuel",E59="Insurance",E59="Tools",E59="Repairs"),"Expense","Non-Deductible")))</f>
        <v/>
      </c>
      <c r="G59" t="inlineStr">
        <is>
          <t>Expense</t>
        </is>
      </c>
      <c r="H59">
        <f>IF(G59&lt;&gt;F59,"YES","NO")</f>
        <v/>
      </c>
      <c r="I59" t="inlineStr"/>
      <c r="J59" t="inlineStr"/>
    </row>
    <row r="60">
      <c r="A60" s="5" t="n">
        <v>45691</v>
      </c>
      <c r="B60" t="inlineStr">
        <is>
          <t>Card Withdrawals - Fee ATM Withdrawal At Other Network 0300000324 $</t>
        </is>
      </c>
      <c r="C60" t="n">
        <v>2.5</v>
      </c>
      <c r="D60" t="inlineStr">
        <is>
          <t>Debit</t>
        </is>
      </c>
      <c r="E60" t="inlineStr">
        <is>
          <t>Tools</t>
        </is>
      </c>
      <c r="F60">
        <f>IF(E60="Income","Revenue",IF(OR(E60="Materials",E60="Labor",E60="Dump Fees"),"COGS",IF(OR(E60="Fuel",E60="Insurance",E60="Tools",E60="Repairs"),"Expense","Non-Deductible")))</f>
        <v/>
      </c>
      <c r="G60" t="inlineStr">
        <is>
          <t>Expense</t>
        </is>
      </c>
      <c r="H60">
        <f>IF(G60&lt;&gt;F60,"YES","NO")</f>
        <v/>
      </c>
      <c r="I60" t="inlineStr"/>
      <c r="J60" t="inlineStr"/>
    </row>
    <row r="61">
      <c r="A61" s="5" t="n">
        <v>45691</v>
      </c>
      <c r="B61" t="inlineStr">
        <is>
          <t>Card Withdrawals - Fee ATM Withdrawal At Other Network 0300000325</t>
        </is>
      </c>
      <c r="C61" t="n">
        <v>2.5</v>
      </c>
      <c r="D61" t="inlineStr">
        <is>
          <t>Debit</t>
        </is>
      </c>
      <c r="E61" t="inlineStr">
        <is>
          <t>Tools</t>
        </is>
      </c>
      <c r="F61">
        <f>IF(E61="Income","Revenue",IF(OR(E61="Materials",E61="Labor",E61="Dump Fees"),"COGS",IF(OR(E61="Fuel",E61="Insurance",E61="Tools",E61="Repairs"),"Expense","Non-Deductible")))</f>
        <v/>
      </c>
      <c r="G61" t="inlineStr">
        <is>
          <t>Expense</t>
        </is>
      </c>
      <c r="H61">
        <f>IF(G61&lt;&gt;F61,"YES","NO")</f>
        <v/>
      </c>
      <c r="I61" t="inlineStr"/>
      <c r="J61" t="inlineStr"/>
    </row>
    <row r="62">
      <c r="A62" s="5" t="n">
        <v>45691</v>
      </c>
      <c r="B62" t="inlineStr">
        <is>
          <t>Other Withdrawals - Electronic Withdrawal To DISCOVER</t>
        </is>
      </c>
      <c r="C62" t="n">
        <v>3906.11</v>
      </c>
      <c r="D62" t="inlineStr">
        <is>
          <t>Debit</t>
        </is>
      </c>
      <c r="E62" t="inlineStr">
        <is>
          <t>Tools</t>
        </is>
      </c>
      <c r="F62">
        <f>IF(E62="Income","Revenue",IF(OR(E62="Materials",E62="Labor",E62="Dump Fees"),"COGS",IF(OR(E62="Fuel",E62="Insurance",E62="Tools",E62="Repairs"),"Expense","Non-Deductible")))</f>
        <v/>
      </c>
      <c r="G62" t="inlineStr">
        <is>
          <t>Expense</t>
        </is>
      </c>
      <c r="H62">
        <f>IF(G62&lt;&gt;F62,"YES","NO")</f>
        <v/>
      </c>
      <c r="I62" t="inlineStr"/>
      <c r="J62" t="inlineStr"/>
    </row>
    <row r="63">
      <c r="A63" s="5" t="n">
        <v>45691</v>
      </c>
      <c r="B63" t="inlineStr">
        <is>
          <t>Other Withdrawals - Electronic Withdrawal To DISCOVER $</t>
        </is>
      </c>
      <c r="C63" t="n">
        <v>34.85</v>
      </c>
      <c r="D63" t="inlineStr">
        <is>
          <t>Debit</t>
        </is>
      </c>
      <c r="E63" t="inlineStr">
        <is>
          <t>Tools</t>
        </is>
      </c>
      <c r="F63">
        <f>IF(E63="Income","Revenue",IF(OR(E63="Materials",E63="Labor",E63="Dump Fees"),"COGS",IF(OR(E63="Fuel",E63="Insurance",E63="Tools",E63="Repairs"),"Expense","Non-Deductible")))</f>
        <v/>
      </c>
      <c r="G63" t="inlineStr">
        <is>
          <t>Expense</t>
        </is>
      </c>
      <c r="H63">
        <f>IF(G63&lt;&gt;F63,"YES","NO")</f>
        <v/>
      </c>
      <c r="I63" t="inlineStr"/>
      <c r="J63" t="inlineStr"/>
    </row>
    <row r="64">
      <c r="A64" s="5" t="n">
        <v>45691</v>
      </c>
      <c r="B64" t="inlineStr">
        <is>
          <t>Other Withdrawals - Electronic Withdrawal To MERCURY CARD FBT</t>
        </is>
      </c>
      <c r="C64" t="n">
        <v>1364.91</v>
      </c>
      <c r="D64" t="inlineStr">
        <is>
          <t>Debit</t>
        </is>
      </c>
      <c r="E64" t="inlineStr">
        <is>
          <t>Tools</t>
        </is>
      </c>
      <c r="F64">
        <f>IF(E64="Income","Revenue",IF(OR(E64="Materials",E64="Labor",E64="Dump Fees"),"COGS",IF(OR(E64="Fuel",E64="Insurance",E64="Tools",E64="Repairs"),"Expense","Non-Deductible")))</f>
        <v/>
      </c>
      <c r="G64" t="inlineStr">
        <is>
          <t>Expense</t>
        </is>
      </c>
      <c r="H64">
        <f>IF(G64&lt;&gt;F64,"YES","NO")</f>
        <v/>
      </c>
      <c r="I64" t="inlineStr"/>
      <c r="J64" t="inlineStr"/>
    </row>
    <row r="65">
      <c r="A65" s="5" t="n">
        <v>45691</v>
      </c>
      <c r="B65" t="inlineStr">
        <is>
          <t>Other Withdrawals - Electronic Withdrawal To Mission Lane LLC</t>
        </is>
      </c>
      <c r="C65" t="n">
        <v>1110.22</v>
      </c>
      <c r="D65" t="inlineStr">
        <is>
          <t>Debit</t>
        </is>
      </c>
      <c r="E65" t="inlineStr">
        <is>
          <t>Tools</t>
        </is>
      </c>
      <c r="F65">
        <f>IF(E65="Income","Revenue",IF(OR(E65="Materials",E65="Labor",E65="Dump Fees"),"COGS",IF(OR(E65="Fuel",E65="Insurance",E65="Tools",E65="Repairs"),"Expense","Non-Deductible")))</f>
        <v/>
      </c>
      <c r="G65" t="inlineStr">
        <is>
          <t>Expense</t>
        </is>
      </c>
      <c r="H65">
        <f>IF(G65&lt;&gt;F65,"YES","NO")</f>
        <v/>
      </c>
      <c r="I65" t="inlineStr"/>
      <c r="J65" t="inlineStr"/>
    </row>
    <row r="66">
      <c r="A66" s="5" t="n">
        <v>45691</v>
      </c>
      <c r="B66" t="inlineStr">
        <is>
          <t>Other Withdrawals - Mobile Banking Payment To Credit Card *************3424</t>
        </is>
      </c>
      <c r="C66" t="n">
        <v>1979.96</v>
      </c>
      <c r="D66" t="inlineStr">
        <is>
          <t>Debit</t>
        </is>
      </c>
      <c r="E66" t="inlineStr">
        <is>
          <t>Fuel</t>
        </is>
      </c>
      <c r="F66">
        <f>IF(E66="Income","Revenue",IF(OR(E66="Materials",E66="Labor",E66="Dump Fees"),"COGS",IF(OR(E66="Fuel",E66="Insurance",E66="Tools",E66="Repairs"),"Expense","Non-Deductible")))</f>
        <v/>
      </c>
      <c r="G66" t="inlineStr">
        <is>
          <t>Expense</t>
        </is>
      </c>
      <c r="H66">
        <f>IF(G66&lt;&gt;F66,"YES","NO")</f>
        <v/>
      </c>
      <c r="I66" t="inlineStr"/>
      <c r="J66" t="inlineStr"/>
    </row>
    <row r="67">
      <c r="A67" s="5" t="n">
        <v>45691</v>
      </c>
      <c r="B67" t="inlineStr">
        <is>
          <t>Other Withdrawals - Mobile Banking Transfer To Account 152316875235</t>
        </is>
      </c>
      <c r="C67" t="n">
        <v>288.8</v>
      </c>
      <c r="D67" t="inlineStr">
        <is>
          <t>Debit</t>
        </is>
      </c>
      <c r="E67" t="inlineStr">
        <is>
          <t>Transfer</t>
        </is>
      </c>
      <c r="F67">
        <f>IF(E67="Income","Revenue",IF(OR(E67="Materials",E67="Labor",E67="Dump Fees"),"COGS",IF(OR(E67="Fuel",E67="Insurance",E67="Tools",E67="Repairs"),"Expense","Non-Deductible")))</f>
        <v/>
      </c>
      <c r="G67" t="inlineStr">
        <is>
          <t>Non-Deductible</t>
        </is>
      </c>
      <c r="H67">
        <f>IF(G67&lt;&gt;F67,"YES","NO")</f>
        <v/>
      </c>
      <c r="I67" t="inlineStr"/>
      <c r="J67" t="inlineStr"/>
    </row>
    <row r="68">
      <c r="A68" s="5" t="n">
        <v>45692</v>
      </c>
      <c r="B68" t="inlineStr">
        <is>
          <t>Other Withdrawals - Electronic Withdrawal To CEFCU TEL DEBIT</t>
        </is>
      </c>
      <c r="C68" t="n">
        <v>1042.46</v>
      </c>
      <c r="D68" t="inlineStr">
        <is>
          <t>Debit</t>
        </is>
      </c>
      <c r="E68" t="inlineStr">
        <is>
          <t>Tools</t>
        </is>
      </c>
      <c r="F68">
        <f>IF(E68="Income","Revenue",IF(OR(E68="Materials",E68="Labor",E68="Dump Fees"),"COGS",IF(OR(E68="Fuel",E68="Insurance",E68="Tools",E68="Repairs"),"Expense","Non-Deductible")))</f>
        <v/>
      </c>
      <c r="G68" t="inlineStr">
        <is>
          <t>Expense</t>
        </is>
      </c>
      <c r="H68">
        <f>IF(G68&lt;&gt;F68,"YES","NO")</f>
        <v/>
      </c>
      <c r="I68" t="inlineStr"/>
      <c r="J68" t="inlineStr"/>
    </row>
    <row r="69">
      <c r="A69" s="5" t="n">
        <v>45693</v>
      </c>
      <c r="B69" t="inlineStr">
        <is>
          <t>Other Withdrawals - Electronic Withdrawal To MIDLAND MTG</t>
        </is>
      </c>
      <c r="C69" t="n">
        <v>1089.56</v>
      </c>
      <c r="D69" t="inlineStr">
        <is>
          <t>Debit</t>
        </is>
      </c>
      <c r="E69" t="inlineStr">
        <is>
          <t>Tools</t>
        </is>
      </c>
      <c r="F69">
        <f>IF(E69="Income","Revenue",IF(OR(E69="Materials",E69="Labor",E69="Dump Fees"),"COGS",IF(OR(E69="Fuel",E69="Insurance",E69="Tools",E69="Repairs"),"Expense","Non-Deductible")))</f>
        <v/>
      </c>
      <c r="G69" t="inlineStr">
        <is>
          <t>Expense</t>
        </is>
      </c>
      <c r="H69">
        <f>IF(G69&lt;&gt;F69,"YES","NO")</f>
        <v/>
      </c>
      <c r="I69" t="inlineStr"/>
      <c r="J69" t="inlineStr"/>
    </row>
    <row r="70">
      <c r="A70" s="5" t="n">
        <v>45694</v>
      </c>
      <c r="B70" t="inlineStr">
        <is>
          <t>Card Withdrawals - Debit Purchase verifyvend855-55 PROVIDENCE RI 0402061511</t>
        </is>
      </c>
      <c r="C70" t="n">
        <v>183</v>
      </c>
      <c r="D70" t="inlineStr">
        <is>
          <t>Debit</t>
        </is>
      </c>
      <c r="E70" t="inlineStr">
        <is>
          <t>Tools</t>
        </is>
      </c>
      <c r="F70">
        <f>IF(E70="Income","Revenue",IF(OR(E70="Materials",E70="Labor",E70="Dump Fees"),"COGS",IF(OR(E70="Fuel",E70="Insurance",E70="Tools",E70="Repairs"),"Expense","Non-Deductible")))</f>
        <v/>
      </c>
      <c r="G70" t="inlineStr">
        <is>
          <t>Expense</t>
        </is>
      </c>
      <c r="H70">
        <f>IF(G70&lt;&gt;F70,"YES","NO")</f>
        <v/>
      </c>
      <c r="I70" t="inlineStr"/>
      <c r="J70" t="inlineStr"/>
    </row>
    <row r="71">
      <c r="A71" s="5" t="n">
        <v>45695</v>
      </c>
      <c r="B71" t="inlineStr">
        <is>
          <t>Card Withdrawals - Debit Purchase CASEYS #3252 129 NEW ATHENS IL 6202061905</t>
        </is>
      </c>
      <c r="C71" t="n">
        <v>12.5</v>
      </c>
      <c r="D71" t="inlineStr">
        <is>
          <t>Debit</t>
        </is>
      </c>
      <c r="E71" t="inlineStr">
        <is>
          <t>Labor</t>
        </is>
      </c>
      <c r="F71">
        <f>IF(E71="Income","Revenue",IF(OR(E71="Materials",E71="Labor",E71="Dump Fees"),"COGS",IF(OR(E71="Fuel",E71="Insurance",E71="Tools",E71="Repairs"),"Expense","Non-Deductible")))</f>
        <v/>
      </c>
      <c r="G71" t="inlineStr">
        <is>
          <t>COGS</t>
        </is>
      </c>
      <c r="H71">
        <f>IF(G71&lt;&gt;F71,"YES","NO")</f>
        <v/>
      </c>
      <c r="I71" t="inlineStr"/>
      <c r="J71" t="inlineStr">
        <is>
          <t>Casey</t>
        </is>
      </c>
    </row>
    <row r="72">
      <c r="A72" s="5" t="n">
        <v>45695</v>
      </c>
      <c r="B72" t="inlineStr">
        <is>
          <t>Card Withdrawals - Debit Purchase MOTOMART FREEBURG IL</t>
        </is>
      </c>
      <c r="C72" t="n">
        <v>85.7</v>
      </c>
      <c r="D72" t="inlineStr">
        <is>
          <t>Debit</t>
        </is>
      </c>
      <c r="E72" t="inlineStr">
        <is>
          <t>Tools</t>
        </is>
      </c>
      <c r="F72">
        <f>IF(E72="Income","Revenue",IF(OR(E72="Materials",E72="Labor",E72="Dump Fees"),"COGS",IF(OR(E72="Fuel",E72="Insurance",E72="Tools",E72="Repairs"),"Expense","Non-Deductible")))</f>
        <v/>
      </c>
      <c r="G72" t="inlineStr">
        <is>
          <t>Expense</t>
        </is>
      </c>
      <c r="H72">
        <f>IF(G72&lt;&gt;F72,"YES","NO")</f>
        <v/>
      </c>
      <c r="I72" t="inlineStr"/>
      <c r="J72" t="inlineStr"/>
    </row>
    <row r="73">
      <c r="A73" s="5" t="n">
        <v>45695</v>
      </c>
      <c r="B73" t="inlineStr">
        <is>
          <t>Other Withdrawals - Zelle Instant PMT To Brian Davis</t>
        </is>
      </c>
      <c r="C73" t="n">
        <v>1380</v>
      </c>
      <c r="D73" t="inlineStr">
        <is>
          <t>Debit</t>
        </is>
      </c>
      <c r="E73" t="inlineStr">
        <is>
          <t>Labor</t>
        </is>
      </c>
      <c r="F73">
        <f>IF(E73="Income","Revenue",IF(OR(E73="Materials",E73="Labor",E73="Dump Fees"),"COGS",IF(OR(E73="Fuel",E73="Insurance",E73="Tools",E73="Repairs"),"Expense","Non-Deductible")))</f>
        <v/>
      </c>
      <c r="G73" t="inlineStr">
        <is>
          <t>COGS</t>
        </is>
      </c>
      <c r="H73">
        <f>IF(G73&lt;&gt;F73,"YES","NO")</f>
        <v/>
      </c>
      <c r="I73" t="inlineStr"/>
      <c r="J73" t="inlineStr">
        <is>
          <t>Bryan</t>
        </is>
      </c>
    </row>
    <row r="74">
      <c r="A74" s="5" t="n">
        <v>45695</v>
      </c>
      <c r="B74" t="inlineStr">
        <is>
          <t>Other Withdrawals - Zelle Instant PMT To Casey Williamson</t>
        </is>
      </c>
      <c r="C74" t="n">
        <v>950</v>
      </c>
      <c r="D74" t="inlineStr">
        <is>
          <t>Debit</t>
        </is>
      </c>
      <c r="E74" t="inlineStr">
        <is>
          <t>Labor</t>
        </is>
      </c>
      <c r="F74">
        <f>IF(E74="Income","Revenue",IF(OR(E74="Materials",E74="Labor",E74="Dump Fees"),"COGS",IF(OR(E74="Fuel",E74="Insurance",E74="Tools",E74="Repairs"),"Expense","Non-Deductible")))</f>
        <v/>
      </c>
      <c r="G74" t="inlineStr">
        <is>
          <t>COGS</t>
        </is>
      </c>
      <c r="H74">
        <f>IF(G74&lt;&gt;F74,"YES","NO")</f>
        <v/>
      </c>
      <c r="I74" t="inlineStr"/>
      <c r="J74" t="inlineStr">
        <is>
          <t>Casey</t>
        </is>
      </c>
    </row>
    <row r="75">
      <c r="A75" s="5" t="n">
        <v>45695</v>
      </c>
      <c r="B75" t="inlineStr">
        <is>
          <t>Other Withdrawals - Zelle Instant PMT To Tabitha Session</t>
        </is>
      </c>
      <c r="C75" t="n">
        <v>500</v>
      </c>
      <c r="D75" t="inlineStr">
        <is>
          <t>Debit</t>
        </is>
      </c>
      <c r="E75" t="inlineStr">
        <is>
          <t>Tools</t>
        </is>
      </c>
      <c r="F75">
        <f>IF(E75="Income","Revenue",IF(OR(E75="Materials",E75="Labor",E75="Dump Fees"),"COGS",IF(OR(E75="Fuel",E75="Insurance",E75="Tools",E75="Repairs"),"Expense","Non-Deductible")))</f>
        <v/>
      </c>
      <c r="G75" t="inlineStr">
        <is>
          <t>Expense</t>
        </is>
      </c>
      <c r="H75">
        <f>IF(G75&lt;&gt;F75,"YES","NO")</f>
        <v/>
      </c>
      <c r="I75" t="inlineStr"/>
      <c r="J75" t="inlineStr"/>
    </row>
    <row r="76">
      <c r="A76" s="5" t="n">
        <v>45698</v>
      </c>
      <c r="B76" t="inlineStr">
        <is>
          <t>Card Withdrawals - Debit Purchase - VISA On 020625 SHILOH IL 8236407155</t>
        </is>
      </c>
      <c r="C76" t="n">
        <v>22.5</v>
      </c>
      <c r="D76" t="inlineStr">
        <is>
          <t>Debit</t>
        </is>
      </c>
      <c r="E76" t="inlineStr">
        <is>
          <t>Tools</t>
        </is>
      </c>
      <c r="F76">
        <f>IF(E76="Income","Revenue",IF(OR(E76="Materials",E76="Labor",E76="Dump Fees"),"COGS",IF(OR(E76="Fuel",E76="Insurance",E76="Tools",E76="Repairs"),"Expense","Non-Deductible")))</f>
        <v/>
      </c>
      <c r="G76" t="inlineStr">
        <is>
          <t>Expense</t>
        </is>
      </c>
      <c r="H76">
        <f>IF(G76&lt;&gt;F76,"YES","NO")</f>
        <v/>
      </c>
      <c r="I76" t="inlineStr"/>
      <c r="J76" t="inlineStr"/>
    </row>
    <row r="77">
      <c r="A77" s="5" t="n">
        <v>45698</v>
      </c>
      <c r="B77" t="inlineStr">
        <is>
          <t>Other Withdrawals - Zelle Instant PMT To Nadia Session</t>
        </is>
      </c>
      <c r="C77" t="n">
        <v>243</v>
      </c>
      <c r="D77" t="inlineStr">
        <is>
          <t>Debit</t>
        </is>
      </c>
      <c r="E77" t="inlineStr">
        <is>
          <t>Tools</t>
        </is>
      </c>
      <c r="F77">
        <f>IF(E77="Income","Revenue",IF(OR(E77="Materials",E77="Labor",E77="Dump Fees"),"COGS",IF(OR(E77="Fuel",E77="Insurance",E77="Tools",E77="Repairs"),"Expense","Non-Deductible")))</f>
        <v/>
      </c>
      <c r="G77" t="inlineStr">
        <is>
          <t>Expense</t>
        </is>
      </c>
      <c r="H77">
        <f>IF(G77&lt;&gt;F77,"YES","NO")</f>
        <v/>
      </c>
      <c r="I77" t="inlineStr"/>
      <c r="J77" t="inlineStr"/>
    </row>
    <row r="78">
      <c r="A78" s="5" t="n">
        <v>45698</v>
      </c>
      <c r="B78" t="inlineStr">
        <is>
          <t>Other Withdrawals - Zelle Instant PMT To Tabitha Session</t>
        </is>
      </c>
      <c r="C78" t="n">
        <v>60</v>
      </c>
      <c r="D78" t="inlineStr">
        <is>
          <t>Debit</t>
        </is>
      </c>
      <c r="E78" t="inlineStr">
        <is>
          <t>Tools</t>
        </is>
      </c>
      <c r="F78">
        <f>IF(E78="Income","Revenue",IF(OR(E78="Materials",E78="Labor",E78="Dump Fees"),"COGS",IF(OR(E78="Fuel",E78="Insurance",E78="Tools",E78="Repairs"),"Expense","Non-Deductible")))</f>
        <v/>
      </c>
      <c r="G78" t="inlineStr">
        <is>
          <t>Expense</t>
        </is>
      </c>
      <c r="H78">
        <f>IF(G78&lt;&gt;F78,"YES","NO")</f>
        <v/>
      </c>
      <c r="I78" t="inlineStr"/>
      <c r="J78" t="inlineStr"/>
    </row>
    <row r="79">
      <c r="A79" s="5" t="n">
        <v>45698</v>
      </c>
      <c r="B79" t="inlineStr">
        <is>
          <t>Other Withdrawals - Zelle Instant PMT To Tabitha Session</t>
        </is>
      </c>
      <c r="C79" t="n">
        <v>70</v>
      </c>
      <c r="D79" t="inlineStr">
        <is>
          <t>Debit</t>
        </is>
      </c>
      <c r="E79" t="inlineStr">
        <is>
          <t>Tools</t>
        </is>
      </c>
      <c r="F79">
        <f>IF(E79="Income","Revenue",IF(OR(E79="Materials",E79="Labor",E79="Dump Fees"),"COGS",IF(OR(E79="Fuel",E79="Insurance",E79="Tools",E79="Repairs"),"Expense","Non-Deductible")))</f>
        <v/>
      </c>
      <c r="G79" t="inlineStr">
        <is>
          <t>Expense</t>
        </is>
      </c>
      <c r="H79">
        <f>IF(G79&lt;&gt;F79,"YES","NO")</f>
        <v/>
      </c>
      <c r="I79" t="inlineStr"/>
      <c r="J79" t="inlineStr"/>
    </row>
    <row r="80">
      <c r="A80" s="5" t="n">
        <v>45698</v>
      </c>
      <c r="B80" t="inlineStr">
        <is>
          <t>Other Withdrawals - Zelle Instant PMT To Tabitha Session</t>
        </is>
      </c>
      <c r="C80" t="n">
        <v>140</v>
      </c>
      <c r="D80" t="inlineStr">
        <is>
          <t>Debit</t>
        </is>
      </c>
      <c r="E80" t="inlineStr">
        <is>
          <t>Tools</t>
        </is>
      </c>
      <c r="F80">
        <f>IF(E80="Income","Revenue",IF(OR(E80="Materials",E80="Labor",E80="Dump Fees"),"COGS",IF(OR(E80="Fuel",E80="Insurance",E80="Tools",E80="Repairs"),"Expense","Non-Deductible")))</f>
        <v/>
      </c>
      <c r="G80" t="inlineStr">
        <is>
          <t>Expense</t>
        </is>
      </c>
      <c r="H80">
        <f>IF(G80&lt;&gt;F80,"YES","NO")</f>
        <v/>
      </c>
      <c r="I80" t="inlineStr"/>
      <c r="J80" t="inlineStr"/>
    </row>
    <row r="81">
      <c r="A81" s="5" t="n">
        <v>45698</v>
      </c>
      <c r="B81" t="inlineStr">
        <is>
          <t>Other Withdrawals - Zelle Instant PMT To Tabitha Session</t>
        </is>
      </c>
      <c r="C81" t="n">
        <v>250</v>
      </c>
      <c r="D81" t="inlineStr">
        <is>
          <t>Debit</t>
        </is>
      </c>
      <c r="E81" t="inlineStr">
        <is>
          <t>Tools</t>
        </is>
      </c>
      <c r="F81">
        <f>IF(E81="Income","Revenue",IF(OR(E81="Materials",E81="Labor",E81="Dump Fees"),"COGS",IF(OR(E81="Fuel",E81="Insurance",E81="Tools",E81="Repairs"),"Expense","Non-Deductible")))</f>
        <v/>
      </c>
      <c r="G81" t="inlineStr">
        <is>
          <t>Expense</t>
        </is>
      </c>
      <c r="H81">
        <f>IF(G81&lt;&gt;F81,"YES","NO")</f>
        <v/>
      </c>
      <c r="I81" t="inlineStr"/>
      <c r="J81" t="inlineStr"/>
    </row>
    <row r="82">
      <c r="A82" s="5" t="n">
        <v>45699</v>
      </c>
      <c r="B82" t="inlineStr">
        <is>
          <t>Card Withdrawals - ATM Withdrawal 1291 OLD BALDWIN NEW ATHENS IL</t>
        </is>
      </c>
      <c r="C82" t="n">
        <v>203.25</v>
      </c>
      <c r="D82" t="inlineStr">
        <is>
          <t>Debit</t>
        </is>
      </c>
      <c r="E82" t="inlineStr">
        <is>
          <t>Tools</t>
        </is>
      </c>
      <c r="F82">
        <f>IF(E82="Income","Revenue",IF(OR(E82="Materials",E82="Labor",E82="Dump Fees"),"COGS",IF(OR(E82="Fuel",E82="Insurance",E82="Tools",E82="Repairs"),"Expense","Non-Deductible")))</f>
        <v/>
      </c>
      <c r="G82" t="inlineStr">
        <is>
          <t>Expense</t>
        </is>
      </c>
      <c r="H82">
        <f>IF(G82&lt;&gt;F82,"YES","NO")</f>
        <v/>
      </c>
      <c r="I82" t="inlineStr"/>
      <c r="J82" t="inlineStr"/>
    </row>
    <row r="83">
      <c r="A83" s="5" t="n">
        <v>45699</v>
      </c>
      <c r="B83" t="inlineStr">
        <is>
          <t>Card Withdrawals - Fee ATM Withdrawal At Other Network 1100000109</t>
        </is>
      </c>
      <c r="C83" t="n">
        <v>2.5</v>
      </c>
      <c r="D83" t="inlineStr">
        <is>
          <t>Debit</t>
        </is>
      </c>
      <c r="E83" t="inlineStr">
        <is>
          <t>Tools</t>
        </is>
      </c>
      <c r="F83">
        <f>IF(E83="Income","Revenue",IF(OR(E83="Materials",E83="Labor",E83="Dump Fees"),"COGS",IF(OR(E83="Fuel",E83="Insurance",E83="Tools",E83="Repairs"),"Expense","Non-Deductible")))</f>
        <v/>
      </c>
      <c r="G83" t="inlineStr">
        <is>
          <t>Expense</t>
        </is>
      </c>
      <c r="H83">
        <f>IF(G83&lt;&gt;F83,"YES","NO")</f>
        <v/>
      </c>
      <c r="I83" t="inlineStr"/>
      <c r="J83" t="inlineStr"/>
    </row>
    <row r="84">
      <c r="A84" s="5" t="n">
        <v>45700</v>
      </c>
      <c r="B84" t="inlineStr">
        <is>
          <t>Card Withdrawals - Debit Purchase DOLLAR-GENERAL # FREEBURG IL 9502121134</t>
        </is>
      </c>
      <c r="C84" t="n">
        <v>77.55</v>
      </c>
      <c r="D84" t="inlineStr">
        <is>
          <t>Debit</t>
        </is>
      </c>
      <c r="E84" t="inlineStr">
        <is>
          <t>Tools</t>
        </is>
      </c>
      <c r="F84">
        <f>IF(E84="Income","Revenue",IF(OR(E84="Materials",E84="Labor",E84="Dump Fees"),"COGS",IF(OR(E84="Fuel",E84="Insurance",E84="Tools",E84="Repairs"),"Expense","Non-Deductible")))</f>
        <v/>
      </c>
      <c r="G84" t="inlineStr">
        <is>
          <t>Expense</t>
        </is>
      </c>
      <c r="H84">
        <f>IF(G84&lt;&gt;F84,"YES","NO")</f>
        <v/>
      </c>
      <c r="I84" t="inlineStr"/>
      <c r="J84" t="inlineStr"/>
    </row>
    <row r="85">
      <c r="A85" s="5" t="n">
        <v>45700</v>
      </c>
      <c r="B85" t="inlineStr">
        <is>
          <t>Other Withdrawals - Zelle Instant PMT To Tabitha Session</t>
        </is>
      </c>
      <c r="C85" t="n">
        <v>182</v>
      </c>
      <c r="D85" t="inlineStr">
        <is>
          <t>Debit</t>
        </is>
      </c>
      <c r="E85" t="inlineStr">
        <is>
          <t>Tools</t>
        </is>
      </c>
      <c r="F85">
        <f>IF(E85="Income","Revenue",IF(OR(E85="Materials",E85="Labor",E85="Dump Fees"),"COGS",IF(OR(E85="Fuel",E85="Insurance",E85="Tools",E85="Repairs"),"Expense","Non-Deductible")))</f>
        <v/>
      </c>
      <c r="G85" t="inlineStr">
        <is>
          <t>Expense</t>
        </is>
      </c>
      <c r="H85">
        <f>IF(G85&lt;&gt;F85,"YES","NO")</f>
        <v/>
      </c>
      <c r="I85" t="inlineStr"/>
      <c r="J85" t="inlineStr"/>
    </row>
    <row r="86">
      <c r="A86" s="5" t="n">
        <v>45701</v>
      </c>
      <c r="B86" t="inlineStr">
        <is>
          <t>Card Withdrawals - Debit Purchase - VISA On 021225 BELLEVILLE IL 4106251248</t>
        </is>
      </c>
      <c r="C86" t="n">
        <v>39.45</v>
      </c>
      <c r="D86" t="inlineStr">
        <is>
          <t>Debit</t>
        </is>
      </c>
      <c r="E86" t="inlineStr">
        <is>
          <t>Tools</t>
        </is>
      </c>
      <c r="F86">
        <f>IF(E86="Income","Revenue",IF(OR(E86="Materials",E86="Labor",E86="Dump Fees"),"COGS",IF(OR(E86="Fuel",E86="Insurance",E86="Tools",E86="Repairs"),"Expense","Non-Deductible")))</f>
        <v/>
      </c>
      <c r="G86" t="inlineStr">
        <is>
          <t>Expense</t>
        </is>
      </c>
      <c r="H86">
        <f>IF(G86&lt;&gt;F86,"YES","NO")</f>
        <v/>
      </c>
      <c r="I86" t="inlineStr"/>
      <c r="J86" t="inlineStr"/>
    </row>
    <row r="87">
      <c r="A87" s="5" t="n">
        <v>45702</v>
      </c>
      <c r="B87" t="inlineStr">
        <is>
          <t>Card Withdrawals - Debit Purchase - VISA On 021225 FREEBURG IL 4300573998</t>
        </is>
      </c>
      <c r="C87" t="n">
        <v>76.28</v>
      </c>
      <c r="D87" t="inlineStr">
        <is>
          <t>Debit</t>
        </is>
      </c>
      <c r="E87" t="inlineStr">
        <is>
          <t>Tools</t>
        </is>
      </c>
      <c r="F87">
        <f>IF(E87="Income","Revenue",IF(OR(E87="Materials",E87="Labor",E87="Dump Fees"),"COGS",IF(OR(E87="Fuel",E87="Insurance",E87="Tools",E87="Repairs"),"Expense","Non-Deductible")))</f>
        <v/>
      </c>
      <c r="G87" t="inlineStr">
        <is>
          <t>Expense</t>
        </is>
      </c>
      <c r="H87">
        <f>IF(G87&lt;&gt;F87,"YES","NO")</f>
        <v/>
      </c>
      <c r="I87" t="inlineStr"/>
      <c r="J87" t="inlineStr"/>
    </row>
    <row r="88">
      <c r="A88" s="5" t="n">
        <v>45702</v>
      </c>
      <c r="B88" t="inlineStr">
        <is>
          <t>Card Withdrawals - Debit Purchase verifyvend855-55 PROVIDENCE RI 4702141520</t>
        </is>
      </c>
      <c r="C88" t="n">
        <v>208</v>
      </c>
      <c r="D88" t="inlineStr">
        <is>
          <t>Debit</t>
        </is>
      </c>
      <c r="E88" t="inlineStr">
        <is>
          <t>Tools</t>
        </is>
      </c>
      <c r="F88">
        <f>IF(E88="Income","Revenue",IF(OR(E88="Materials",E88="Labor",E88="Dump Fees"),"COGS",IF(OR(E88="Fuel",E88="Insurance",E88="Tools",E88="Repairs"),"Expense","Non-Deductible")))</f>
        <v/>
      </c>
      <c r="G88" t="inlineStr">
        <is>
          <t>Expense</t>
        </is>
      </c>
      <c r="H88">
        <f>IF(G88&lt;&gt;F88,"YES","NO")</f>
        <v/>
      </c>
      <c r="I88" t="inlineStr"/>
      <c r="J88" t="inlineStr"/>
    </row>
    <row r="89">
      <c r="A89" s="5" t="n">
        <v>45702</v>
      </c>
      <c r="B89" t="inlineStr">
        <is>
          <t>Other Withdrawals - Deposited Item Returned 1000101618</t>
        </is>
      </c>
      <c r="C89" t="n">
        <v>7013.16</v>
      </c>
      <c r="D89" t="inlineStr">
        <is>
          <t>Debit</t>
        </is>
      </c>
      <c r="E89" t="inlineStr">
        <is>
          <t>Tools</t>
        </is>
      </c>
      <c r="F89">
        <f>IF(E89="Income","Revenue",IF(OR(E89="Materials",E89="Labor",E89="Dump Fees"),"COGS",IF(OR(E89="Fuel",E89="Insurance",E89="Tools",E89="Repairs"),"Expense","Non-Deductible")))</f>
        <v/>
      </c>
      <c r="G89" t="inlineStr">
        <is>
          <t>Expense</t>
        </is>
      </c>
      <c r="H89">
        <f>IF(G89&lt;&gt;F89,"YES","NO")</f>
        <v/>
      </c>
      <c r="I89" t="inlineStr"/>
      <c r="J89" t="inlineStr"/>
    </row>
    <row r="90">
      <c r="A90" s="5" t="n">
        <v>45702</v>
      </c>
      <c r="B90" t="inlineStr">
        <is>
          <t>Other Withdrawals - Mobile Banking Transfer To Account 152316875235</t>
        </is>
      </c>
      <c r="C90" t="n">
        <v>550</v>
      </c>
      <c r="D90" t="inlineStr">
        <is>
          <t>Debit</t>
        </is>
      </c>
      <c r="E90" t="inlineStr">
        <is>
          <t>Transfer</t>
        </is>
      </c>
      <c r="F90">
        <f>IF(E90="Income","Revenue",IF(OR(E90="Materials",E90="Labor",E90="Dump Fees"),"COGS",IF(OR(E90="Fuel",E90="Insurance",E90="Tools",E90="Repairs"),"Expense","Non-Deductible")))</f>
        <v/>
      </c>
      <c r="G90" t="inlineStr">
        <is>
          <t>Non-Deductible</t>
        </is>
      </c>
      <c r="H90">
        <f>IF(G90&lt;&gt;F90,"YES","NO")</f>
        <v/>
      </c>
      <c r="I90" t="inlineStr"/>
      <c r="J90" t="inlineStr"/>
    </row>
    <row r="91">
      <c r="A91" s="5" t="n">
        <v>45702</v>
      </c>
      <c r="B91" t="inlineStr">
        <is>
          <t>Other Withdrawals - Zelle Instant PMT To Brian Davis</t>
        </is>
      </c>
      <c r="C91" t="n">
        <v>1170</v>
      </c>
      <c r="D91" t="inlineStr">
        <is>
          <t>Debit</t>
        </is>
      </c>
      <c r="E91" t="inlineStr">
        <is>
          <t>Labor</t>
        </is>
      </c>
      <c r="F91">
        <f>IF(E91="Income","Revenue",IF(OR(E91="Materials",E91="Labor",E91="Dump Fees"),"COGS",IF(OR(E91="Fuel",E91="Insurance",E91="Tools",E91="Repairs"),"Expense","Non-Deductible")))</f>
        <v/>
      </c>
      <c r="G91" t="inlineStr">
        <is>
          <t>COGS</t>
        </is>
      </c>
      <c r="H91">
        <f>IF(G91&lt;&gt;F91,"YES","NO")</f>
        <v/>
      </c>
      <c r="I91" t="inlineStr"/>
      <c r="J91" t="inlineStr">
        <is>
          <t>Bryan</t>
        </is>
      </c>
    </row>
    <row r="92">
      <c r="A92" s="5" t="n">
        <v>45702</v>
      </c>
      <c r="B92" t="inlineStr">
        <is>
          <t>Other Withdrawals - Zelle Instant PMT To Casey Williamson</t>
        </is>
      </c>
      <c r="C92" t="n">
        <v>800</v>
      </c>
      <c r="D92" t="inlineStr">
        <is>
          <t>Debit</t>
        </is>
      </c>
      <c r="E92" t="inlineStr">
        <is>
          <t>Labor</t>
        </is>
      </c>
      <c r="F92">
        <f>IF(E92="Income","Revenue",IF(OR(E92="Materials",E92="Labor",E92="Dump Fees"),"COGS",IF(OR(E92="Fuel",E92="Insurance",E92="Tools",E92="Repairs"),"Expense","Non-Deductible")))</f>
        <v/>
      </c>
      <c r="G92" t="inlineStr">
        <is>
          <t>COGS</t>
        </is>
      </c>
      <c r="H92">
        <f>IF(G92&lt;&gt;F92,"YES","NO")</f>
        <v/>
      </c>
      <c r="I92" t="inlineStr"/>
      <c r="J92" t="inlineStr">
        <is>
          <t>Casey</t>
        </is>
      </c>
    </row>
    <row r="93">
      <c r="A93" s="5" t="n">
        <v>45702</v>
      </c>
      <c r="B93" t="inlineStr">
        <is>
          <t>Other Withdrawals - Zelle Instant PMT To Nadia Session</t>
        </is>
      </c>
      <c r="C93" t="n">
        <v>100</v>
      </c>
      <c r="D93" t="inlineStr">
        <is>
          <t>Debit</t>
        </is>
      </c>
      <c r="E93" t="inlineStr">
        <is>
          <t>Tools</t>
        </is>
      </c>
      <c r="F93">
        <f>IF(E93="Income","Revenue",IF(OR(E93="Materials",E93="Labor",E93="Dump Fees"),"COGS",IF(OR(E93="Fuel",E93="Insurance",E93="Tools",E93="Repairs"),"Expense","Non-Deductible")))</f>
        <v/>
      </c>
      <c r="G93" t="inlineStr">
        <is>
          <t>Expense</t>
        </is>
      </c>
      <c r="H93">
        <f>IF(G93&lt;&gt;F93,"YES","NO")</f>
        <v/>
      </c>
      <c r="I93" t="inlineStr"/>
      <c r="J93" t="inlineStr"/>
    </row>
    <row r="94">
      <c r="A94" s="5" t="n">
        <v>45706</v>
      </c>
      <c r="B94" t="inlineStr">
        <is>
          <t>Card Withdrawals - Debit Purchase verifyvend855-55 PROVIDENCE RI 5402171314</t>
        </is>
      </c>
      <c r="C94" t="n">
        <v>57</v>
      </c>
      <c r="D94" t="inlineStr">
        <is>
          <t>Debit</t>
        </is>
      </c>
      <c r="E94" t="inlineStr">
        <is>
          <t>Tools</t>
        </is>
      </c>
      <c r="F94">
        <f>IF(E94="Income","Revenue",IF(OR(E94="Materials",E94="Labor",E94="Dump Fees"),"COGS",IF(OR(E94="Fuel",E94="Insurance",E94="Tools",E94="Repairs"),"Expense","Non-Deductible")))</f>
        <v/>
      </c>
      <c r="G94" t="inlineStr">
        <is>
          <t>Expense</t>
        </is>
      </c>
      <c r="H94">
        <f>IF(G94&lt;&gt;F94,"YES","NO")</f>
        <v/>
      </c>
      <c r="I94" t="inlineStr"/>
      <c r="J94" t="inlineStr"/>
    </row>
    <row r="95">
      <c r="A95" s="5" t="n">
        <v>45707</v>
      </c>
      <c r="B95" t="inlineStr">
        <is>
          <t>Card Withdrawals - Debit Purchase - VISA On 021825 BELLEVILLE IL 9300620697</t>
        </is>
      </c>
      <c r="C95" t="n">
        <v>31.37</v>
      </c>
      <c r="D95" t="inlineStr">
        <is>
          <t>Debit</t>
        </is>
      </c>
      <c r="E95" t="inlineStr">
        <is>
          <t>Tools</t>
        </is>
      </c>
      <c r="F95">
        <f>IF(E95="Income","Revenue",IF(OR(E95="Materials",E95="Labor",E95="Dump Fees"),"COGS",IF(OR(E95="Fuel",E95="Insurance",E95="Tools",E95="Repairs"),"Expense","Non-Deductible")))</f>
        <v/>
      </c>
      <c r="G95" t="inlineStr">
        <is>
          <t>Expense</t>
        </is>
      </c>
      <c r="H95">
        <f>IF(G95&lt;&gt;F95,"YES","NO")</f>
        <v/>
      </c>
      <c r="I95" t="inlineStr"/>
      <c r="J95" t="inlineStr"/>
    </row>
    <row r="96">
      <c r="A96" s="5" t="n">
        <v>45707</v>
      </c>
      <c r="B96" t="inlineStr">
        <is>
          <t>Card Withdrawals - Debit Purchase MOTOMART FREEBURG IL</t>
        </is>
      </c>
      <c r="C96" t="n">
        <v>81.59999999999999</v>
      </c>
      <c r="D96" t="inlineStr">
        <is>
          <t>Debit</t>
        </is>
      </c>
      <c r="E96" t="inlineStr">
        <is>
          <t>Tools</t>
        </is>
      </c>
      <c r="F96">
        <f>IF(E96="Income","Revenue",IF(OR(E96="Materials",E96="Labor",E96="Dump Fees"),"COGS",IF(OR(E96="Fuel",E96="Insurance",E96="Tools",E96="Repairs"),"Expense","Non-Deductible")))</f>
        <v/>
      </c>
      <c r="G96" t="inlineStr">
        <is>
          <t>Expense</t>
        </is>
      </c>
      <c r="H96">
        <f>IF(G96&lt;&gt;F96,"YES","NO")</f>
        <v/>
      </c>
      <c r="I96" t="inlineStr"/>
      <c r="J96" t="inlineStr"/>
    </row>
    <row r="97">
      <c r="A97" s="5" t="n">
        <v>45707</v>
      </c>
      <c r="B97" t="inlineStr">
        <is>
          <t>Other Withdrawals - Electronic Withdrawal To CATHOLIC CCU</t>
        </is>
      </c>
      <c r="C97" t="n">
        <v>572.5</v>
      </c>
      <c r="D97" t="inlineStr">
        <is>
          <t>Debit</t>
        </is>
      </c>
      <c r="E97" t="inlineStr">
        <is>
          <t>Tools</t>
        </is>
      </c>
      <c r="F97">
        <f>IF(E97="Income","Revenue",IF(OR(E97="Materials",E97="Labor",E97="Dump Fees"),"COGS",IF(OR(E97="Fuel",E97="Insurance",E97="Tools",E97="Repairs"),"Expense","Non-Deductible")))</f>
        <v/>
      </c>
      <c r="G97" t="inlineStr">
        <is>
          <t>Expense</t>
        </is>
      </c>
      <c r="H97">
        <f>IF(G97&lt;&gt;F97,"YES","NO")</f>
        <v/>
      </c>
      <c r="I97" t="inlineStr"/>
      <c r="J97" t="inlineStr"/>
    </row>
    <row r="98">
      <c r="A98" s="5" t="n">
        <v>45708</v>
      </c>
      <c r="B98" t="inlineStr">
        <is>
          <t>Card Withdrawals - Debit Purchase HI-WAY LMB CO NEW ATHENS IL 8102201546</t>
        </is>
      </c>
      <c r="C98" t="n">
        <v>25.95</v>
      </c>
      <c r="D98" t="inlineStr">
        <is>
          <t>Debit</t>
        </is>
      </c>
      <c r="E98" t="inlineStr">
        <is>
          <t>Tools</t>
        </is>
      </c>
      <c r="F98">
        <f>IF(E98="Income","Revenue",IF(OR(E98="Materials",E98="Labor",E98="Dump Fees"),"COGS",IF(OR(E98="Fuel",E98="Insurance",E98="Tools",E98="Repairs"),"Expense","Non-Deductible")))</f>
        <v/>
      </c>
      <c r="G98" t="inlineStr">
        <is>
          <t>Expense</t>
        </is>
      </c>
      <c r="H98">
        <f>IF(G98&lt;&gt;F98,"YES","NO")</f>
        <v/>
      </c>
      <c r="I98" t="inlineStr"/>
      <c r="J98" t="inlineStr"/>
    </row>
    <row r="99">
      <c r="A99" s="5" t="n">
        <v>45708</v>
      </c>
      <c r="B99" t="inlineStr">
        <is>
          <t>Other Withdrawals - Electronic Withdrawal To MERCURY CARD FBT</t>
        </is>
      </c>
      <c r="C99" t="n">
        <v>670.41</v>
      </c>
      <c r="D99" t="inlineStr">
        <is>
          <t>Debit</t>
        </is>
      </c>
      <c r="E99" t="inlineStr">
        <is>
          <t>Tools</t>
        </is>
      </c>
      <c r="F99">
        <f>IF(E99="Income","Revenue",IF(OR(E99="Materials",E99="Labor",E99="Dump Fees"),"COGS",IF(OR(E99="Fuel",E99="Insurance",E99="Tools",E99="Repairs"),"Expense","Non-Deductible")))</f>
        <v/>
      </c>
      <c r="G99" t="inlineStr">
        <is>
          <t>Expense</t>
        </is>
      </c>
      <c r="H99">
        <f>IF(G99&lt;&gt;F99,"YES","NO")</f>
        <v/>
      </c>
      <c r="I99" t="inlineStr"/>
      <c r="J99" t="inlineStr"/>
    </row>
    <row r="100">
      <c r="A100" s="5" t="n">
        <v>45709</v>
      </c>
      <c r="B100" t="inlineStr">
        <is>
          <t>Other Withdrawals - Mobile Banking Transfer To Account 152316874980</t>
        </is>
      </c>
      <c r="C100" t="n">
        <v>750</v>
      </c>
      <c r="D100" t="inlineStr">
        <is>
          <t>Debit</t>
        </is>
      </c>
      <c r="E100" t="inlineStr">
        <is>
          <t>Transfer</t>
        </is>
      </c>
      <c r="F100">
        <f>IF(E100="Income","Revenue",IF(OR(E100="Materials",E100="Labor",E100="Dump Fees"),"COGS",IF(OR(E100="Fuel",E100="Insurance",E100="Tools",E100="Repairs"),"Expense","Non-Deductible")))</f>
        <v/>
      </c>
      <c r="G100" t="inlineStr">
        <is>
          <t>Non-Deductible</t>
        </is>
      </c>
      <c r="H100">
        <f>IF(G100&lt;&gt;F100,"YES","NO")</f>
        <v/>
      </c>
      <c r="I100" t="inlineStr"/>
      <c r="J100" t="inlineStr"/>
    </row>
    <row r="101">
      <c r="A101" s="5" t="n">
        <v>45709</v>
      </c>
      <c r="B101" t="inlineStr">
        <is>
          <t>Other Withdrawals - Zelle Instant PMT To BRIAN DAVIS</t>
        </is>
      </c>
      <c r="C101" t="n">
        <v>580</v>
      </c>
      <c r="D101" t="inlineStr">
        <is>
          <t>Debit</t>
        </is>
      </c>
      <c r="E101" t="inlineStr">
        <is>
          <t>Labor</t>
        </is>
      </c>
      <c r="F101">
        <f>IF(E101="Income","Revenue",IF(OR(E101="Materials",E101="Labor",E101="Dump Fees"),"COGS",IF(OR(E101="Fuel",E101="Insurance",E101="Tools",E101="Repairs"),"Expense","Non-Deductible")))</f>
        <v/>
      </c>
      <c r="G101" t="inlineStr">
        <is>
          <t>COGS</t>
        </is>
      </c>
      <c r="H101">
        <f>IF(G101&lt;&gt;F101,"YES","NO")</f>
        <v/>
      </c>
      <c r="I101" t="inlineStr"/>
      <c r="J101" t="inlineStr">
        <is>
          <t>Bryan</t>
        </is>
      </c>
    </row>
    <row r="102">
      <c r="A102" s="5" t="n">
        <v>45709</v>
      </c>
      <c r="B102" t="inlineStr">
        <is>
          <t>Other Withdrawals - Zelle Instant PMT To CASEY WILLIAMSON</t>
        </is>
      </c>
      <c r="C102" t="n">
        <v>400</v>
      </c>
      <c r="D102" t="inlineStr">
        <is>
          <t>Debit</t>
        </is>
      </c>
      <c r="E102" t="inlineStr">
        <is>
          <t>Labor</t>
        </is>
      </c>
      <c r="F102">
        <f>IF(E102="Income","Revenue",IF(OR(E102="Materials",E102="Labor",E102="Dump Fees"),"COGS",IF(OR(E102="Fuel",E102="Insurance",E102="Tools",E102="Repairs"),"Expense","Non-Deductible")))</f>
        <v/>
      </c>
      <c r="G102" t="inlineStr">
        <is>
          <t>COGS</t>
        </is>
      </c>
      <c r="H102">
        <f>IF(G102&lt;&gt;F102,"YES","NO")</f>
        <v/>
      </c>
      <c r="I102" t="inlineStr"/>
      <c r="J102" t="inlineStr">
        <is>
          <t>Casey</t>
        </is>
      </c>
    </row>
    <row r="103">
      <c r="A103" s="5" t="n">
        <v>45712</v>
      </c>
      <c r="B103" t="inlineStr">
        <is>
          <t>Card Withdrawals - Debit Purchase - VISA On 022025 SWANSEA IL 2004371665</t>
        </is>
      </c>
      <c r="C103" t="n">
        <v>81.54000000000001</v>
      </c>
      <c r="D103" t="inlineStr">
        <is>
          <t>Debit</t>
        </is>
      </c>
      <c r="E103" t="inlineStr">
        <is>
          <t>Tools</t>
        </is>
      </c>
      <c r="F103">
        <f>IF(E103="Income","Revenue",IF(OR(E103="Materials",E103="Labor",E103="Dump Fees"),"COGS",IF(OR(E103="Fuel",E103="Insurance",E103="Tools",E103="Repairs"),"Expense","Non-Deductible")))</f>
        <v/>
      </c>
      <c r="G103" t="inlineStr">
        <is>
          <t>Expense</t>
        </is>
      </c>
      <c r="H103">
        <f>IF(G103&lt;&gt;F103,"YES","NO")</f>
        <v/>
      </c>
      <c r="I103" t="inlineStr"/>
      <c r="J103" t="inlineStr"/>
    </row>
    <row r="104">
      <c r="A104" s="5" t="n">
        <v>45714</v>
      </c>
      <c r="B104" t="inlineStr">
        <is>
          <t>Card Withdrawals - Recurring Debit Purchase On 022525 888-270-2644 IN 6106932422</t>
        </is>
      </c>
      <c r="C104" t="n">
        <v>817.5</v>
      </c>
      <c r="D104" t="inlineStr">
        <is>
          <t>Debit</t>
        </is>
      </c>
      <c r="E104" t="inlineStr">
        <is>
          <t>Tools</t>
        </is>
      </c>
      <c r="F104">
        <f>IF(E104="Income","Revenue",IF(OR(E104="Materials",E104="Labor",E104="Dump Fees"),"COGS",IF(OR(E104="Fuel",E104="Insurance",E104="Tools",E104="Repairs"),"Expense","Non-Deductible")))</f>
        <v/>
      </c>
      <c r="G104" t="inlineStr">
        <is>
          <t>Expense</t>
        </is>
      </c>
      <c r="H104">
        <f>IF(G104&lt;&gt;F104,"YES","NO")</f>
        <v/>
      </c>
      <c r="I104" t="inlineStr"/>
      <c r="J104" t="inlineStr"/>
    </row>
    <row r="105">
      <c r="A105" s="5" t="n">
        <v>45714</v>
      </c>
      <c r="B105" t="inlineStr">
        <is>
          <t>Other Withdrawals - Electronic Withdrawal To DISCOVER</t>
        </is>
      </c>
      <c r="C105" t="n">
        <v>2000</v>
      </c>
      <c r="D105" t="inlineStr">
        <is>
          <t>Debit</t>
        </is>
      </c>
      <c r="E105" t="inlineStr">
        <is>
          <t>Tools</t>
        </is>
      </c>
      <c r="F105">
        <f>IF(E105="Income","Revenue",IF(OR(E105="Materials",E105="Labor",E105="Dump Fees"),"COGS",IF(OR(E105="Fuel",E105="Insurance",E105="Tools",E105="Repairs"),"Expense","Non-Deductible")))</f>
        <v/>
      </c>
      <c r="G105" t="inlineStr">
        <is>
          <t>Expense</t>
        </is>
      </c>
      <c r="H105">
        <f>IF(G105&lt;&gt;F105,"YES","NO")</f>
        <v/>
      </c>
      <c r="I105" t="inlineStr"/>
      <c r="J105" t="inlineStr"/>
    </row>
    <row r="106">
      <c r="A106" s="5" t="n">
        <v>45715</v>
      </c>
      <c r="B106" t="inlineStr">
        <is>
          <t>Card Withdrawals - Debit Purchase MOTOMART FREEBURG IL</t>
        </is>
      </c>
      <c r="C106" t="n">
        <v>83.31999999999999</v>
      </c>
      <c r="D106" t="inlineStr">
        <is>
          <t>Debit</t>
        </is>
      </c>
      <c r="E106" t="inlineStr">
        <is>
          <t>Tools</t>
        </is>
      </c>
      <c r="F106">
        <f>IF(E106="Income","Revenue",IF(OR(E106="Materials",E106="Labor",E106="Dump Fees"),"COGS",IF(OR(E106="Fuel",E106="Insurance",E106="Tools",E106="Repairs"),"Expense","Non-Deductible")))</f>
        <v/>
      </c>
      <c r="G106" t="inlineStr">
        <is>
          <t>Expense</t>
        </is>
      </c>
      <c r="H106">
        <f>IF(G106&lt;&gt;F106,"YES","NO")</f>
        <v/>
      </c>
      <c r="I106" t="inlineStr"/>
      <c r="J106" t="inlineStr"/>
    </row>
    <row r="107">
      <c r="A107" s="5" t="n">
        <v>45716</v>
      </c>
      <c r="B107" t="inlineStr">
        <is>
          <t>Other Withdrawals - Mobile Banking Transfer To Account 152316875235</t>
        </is>
      </c>
      <c r="C107" t="n">
        <v>550</v>
      </c>
      <c r="D107" t="inlineStr">
        <is>
          <t>Debit</t>
        </is>
      </c>
      <c r="E107" t="inlineStr">
        <is>
          <t>Transfer</t>
        </is>
      </c>
      <c r="F107">
        <f>IF(E107="Income","Revenue",IF(OR(E107="Materials",E107="Labor",E107="Dump Fees"),"COGS",IF(OR(E107="Fuel",E107="Insurance",E107="Tools",E107="Repairs"),"Expense","Non-Deductible")))</f>
        <v/>
      </c>
      <c r="G107" t="inlineStr">
        <is>
          <t>Non-Deductible</t>
        </is>
      </c>
      <c r="H107">
        <f>IF(G107&lt;&gt;F107,"YES","NO")</f>
        <v/>
      </c>
      <c r="I107" t="inlineStr"/>
      <c r="J107" t="inlineStr"/>
    </row>
    <row r="108">
      <c r="A108" s="5" t="n">
        <v>45716</v>
      </c>
      <c r="B108" t="inlineStr">
        <is>
          <t>Other Withdrawals - Zelle Instant PMT To Brian Davis</t>
        </is>
      </c>
      <c r="C108" t="n">
        <v>1300</v>
      </c>
      <c r="D108" t="inlineStr">
        <is>
          <t>Debit</t>
        </is>
      </c>
      <c r="E108" t="inlineStr">
        <is>
          <t>Labor</t>
        </is>
      </c>
      <c r="F108">
        <f>IF(E108="Income","Revenue",IF(OR(E108="Materials",E108="Labor",E108="Dump Fees"),"COGS",IF(OR(E108="Fuel",E108="Insurance",E108="Tools",E108="Repairs"),"Expense","Non-Deductible")))</f>
        <v/>
      </c>
      <c r="G108" t="inlineStr">
        <is>
          <t>COGS</t>
        </is>
      </c>
      <c r="H108">
        <f>IF(G108&lt;&gt;F108,"YES","NO")</f>
        <v/>
      </c>
      <c r="I108" t="inlineStr"/>
      <c r="J108" t="inlineStr">
        <is>
          <t>Bryan</t>
        </is>
      </c>
    </row>
    <row r="109">
      <c r="A109" s="5" t="n">
        <v>45716</v>
      </c>
      <c r="B109" t="inlineStr">
        <is>
          <t>Other Withdrawals - Zelle Instant PMT To Casey Williamson</t>
        </is>
      </c>
      <c r="C109" t="n">
        <v>613</v>
      </c>
      <c r="D109" t="inlineStr">
        <is>
          <t>Debit</t>
        </is>
      </c>
      <c r="E109" t="inlineStr">
        <is>
          <t>Labor</t>
        </is>
      </c>
      <c r="F109">
        <f>IF(E109="Income","Revenue",IF(OR(E109="Materials",E109="Labor",E109="Dump Fees"),"COGS",IF(OR(E109="Fuel",E109="Insurance",E109="Tools",E109="Repairs"),"Expense","Non-Deductible")))</f>
        <v/>
      </c>
      <c r="G109" t="inlineStr">
        <is>
          <t>COGS</t>
        </is>
      </c>
      <c r="H109">
        <f>IF(G109&lt;&gt;F109,"YES","NO")</f>
        <v/>
      </c>
      <c r="I109" t="inlineStr"/>
      <c r="J109" t="inlineStr">
        <is>
          <t>Casey</t>
        </is>
      </c>
    </row>
    <row r="110">
      <c r="A110" s="5" t="n">
        <v>45716</v>
      </c>
      <c r="B110" t="inlineStr">
        <is>
          <t>Other Withdrawals - Zelle Instant PMT To Nadia Session</t>
        </is>
      </c>
      <c r="C110" t="n">
        <v>100</v>
      </c>
      <c r="D110" t="inlineStr">
        <is>
          <t>Debit</t>
        </is>
      </c>
      <c r="E110" t="inlineStr">
        <is>
          <t>Tools</t>
        </is>
      </c>
      <c r="F110">
        <f>IF(E110="Income","Revenue",IF(OR(E110="Materials",E110="Labor",E110="Dump Fees"),"COGS",IF(OR(E110="Fuel",E110="Insurance",E110="Tools",E110="Repairs"),"Expense","Non-Deductible")))</f>
        <v/>
      </c>
      <c r="G110" t="inlineStr">
        <is>
          <t>Expense</t>
        </is>
      </c>
      <c r="H110">
        <f>IF(G110&lt;&gt;F110,"YES","NO")</f>
        <v/>
      </c>
      <c r="I110" t="inlineStr"/>
      <c r="J110" t="inlineStr"/>
    </row>
    <row r="111">
      <c r="A111" s="5" t="n">
        <v>45716</v>
      </c>
      <c r="B111" t="inlineStr">
        <is>
          <t>Other Withdrawals - Zelle Instant PMT To Nadia Session</t>
        </is>
      </c>
      <c r="C111" t="n">
        <v>400</v>
      </c>
      <c r="D111" t="inlineStr">
        <is>
          <t>Debit</t>
        </is>
      </c>
      <c r="E111" t="inlineStr">
        <is>
          <t>Tools</t>
        </is>
      </c>
      <c r="F111">
        <f>IF(E111="Income","Revenue",IF(OR(E111="Materials",E111="Labor",E111="Dump Fees"),"COGS",IF(OR(E111="Fuel",E111="Insurance",E111="Tools",E111="Repairs"),"Expense","Non-Deductible")))</f>
        <v/>
      </c>
      <c r="G111" t="inlineStr">
        <is>
          <t>Expense</t>
        </is>
      </c>
      <c r="H111">
        <f>IF(G111&lt;&gt;F111,"YES","NO")</f>
        <v/>
      </c>
      <c r="I111" t="inlineStr"/>
      <c r="J111" t="inlineStr"/>
    </row>
    <row r="112">
      <c r="A112" s="5" t="n">
        <v>45719</v>
      </c>
      <c r="B112" t="inlineStr">
        <is>
          <t>Card Withdrawals - Recurring Debit Purchase On 030125 800-956-6310 IL 0159232300 $</t>
        </is>
      </c>
      <c r="C112" t="n">
        <v>328.77</v>
      </c>
      <c r="D112" t="inlineStr">
        <is>
          <t>Debit</t>
        </is>
      </c>
      <c r="E112" t="inlineStr">
        <is>
          <t>Tools</t>
        </is>
      </c>
      <c r="F112">
        <f>IF(E112="Income","Revenue",IF(OR(E112="Materials",E112="Labor",E112="Dump Fees"),"COGS",IF(OR(E112="Fuel",E112="Insurance",E112="Tools",E112="Repairs"),"Expense","Non-Deductible")))</f>
        <v/>
      </c>
      <c r="G112" t="inlineStr">
        <is>
          <t>Expense</t>
        </is>
      </c>
      <c r="H112">
        <f>IF(G112&lt;&gt;F112,"YES","NO")</f>
        <v/>
      </c>
      <c r="I112" t="inlineStr"/>
      <c r="J112" t="inlineStr"/>
    </row>
    <row r="113">
      <c r="A113" s="5" t="n">
        <v>45719</v>
      </c>
      <c r="B113" t="inlineStr">
        <is>
          <t>Other Withdrawals - Electronic Withdrawal To MERCURY CARD FBT $</t>
        </is>
      </c>
      <c r="C113" t="n">
        <v>610.09</v>
      </c>
      <c r="D113" t="inlineStr">
        <is>
          <t>Debit</t>
        </is>
      </c>
      <c r="E113" t="inlineStr">
        <is>
          <t>Tools</t>
        </is>
      </c>
      <c r="F113">
        <f>IF(E113="Income","Revenue",IF(OR(E113="Materials",E113="Labor",E113="Dump Fees"),"COGS",IF(OR(E113="Fuel",E113="Insurance",E113="Tools",E113="Repairs"),"Expense","Non-Deductible")))</f>
        <v/>
      </c>
      <c r="G113" t="inlineStr">
        <is>
          <t>Expense</t>
        </is>
      </c>
      <c r="H113">
        <f>IF(G113&lt;&gt;F113,"YES","NO")</f>
        <v/>
      </c>
      <c r="I113" t="inlineStr"/>
      <c r="J113" t="inlineStr"/>
    </row>
    <row r="114">
      <c r="A114" s="5" t="n">
        <v>45720</v>
      </c>
      <c r="B114" t="inlineStr">
        <is>
          <t>Other Deposits - Visa Direct VENMO*Session Wi 6803031840 $</t>
        </is>
      </c>
      <c r="C114" t="n">
        <v>3575</v>
      </c>
      <c r="D114" t="inlineStr">
        <is>
          <t>Credit</t>
        </is>
      </c>
      <c r="E114" t="inlineStr">
        <is>
          <t>Income</t>
        </is>
      </c>
      <c r="F114">
        <f>IF(E114="Income","Revenue",IF(OR(E114="Materials",E114="Labor",E114="Dump Fees"),"COGS",IF(OR(E114="Fuel",E114="Insurance",E114="Tools",E114="Repairs"),"Expense","Non-Deductible")))</f>
        <v/>
      </c>
      <c r="G114" t="inlineStr">
        <is>
          <t>Revenue</t>
        </is>
      </c>
      <c r="H114">
        <f>IF(G114&lt;&gt;F114,"YES","NO")</f>
        <v/>
      </c>
      <c r="I114" t="inlineStr"/>
      <c r="J114" t="inlineStr"/>
    </row>
    <row r="115">
      <c r="A115" s="5" t="n">
        <v>45720</v>
      </c>
      <c r="B115" t="inlineStr">
        <is>
          <t>Other Withdrawals - Mobile Banking Payment To Credit Card *************3424</t>
        </is>
      </c>
      <c r="C115" t="n">
        <v>650</v>
      </c>
      <c r="D115" t="inlineStr">
        <is>
          <t>Debit</t>
        </is>
      </c>
      <c r="E115" t="inlineStr">
        <is>
          <t>Fuel</t>
        </is>
      </c>
      <c r="F115">
        <f>IF(E115="Income","Revenue",IF(OR(E115="Materials",E115="Labor",E115="Dump Fees"),"COGS",IF(OR(E115="Fuel",E115="Insurance",E115="Tools",E115="Repairs"),"Expense","Non-Deductible")))</f>
        <v/>
      </c>
      <c r="G115" t="inlineStr">
        <is>
          <t>Expense</t>
        </is>
      </c>
      <c r="H115">
        <f>IF(G115&lt;&gt;F115,"YES","NO")</f>
        <v/>
      </c>
      <c r="I115" t="inlineStr"/>
      <c r="J115" t="inlineStr"/>
    </row>
    <row r="116">
      <c r="A116" s="5" t="n">
        <v>45720</v>
      </c>
      <c r="B116" t="inlineStr">
        <is>
          <t>Other Withdrawals - Mobile Banking Payment To Credit Card *************9563</t>
        </is>
      </c>
      <c r="C116" t="n">
        <v>143.24</v>
      </c>
      <c r="D116" t="inlineStr">
        <is>
          <t>Debit</t>
        </is>
      </c>
      <c r="E116" t="inlineStr">
        <is>
          <t>Fuel</t>
        </is>
      </c>
      <c r="F116">
        <f>IF(E116="Income","Revenue",IF(OR(E116="Materials",E116="Labor",E116="Dump Fees"),"COGS",IF(OR(E116="Fuel",E116="Insurance",E116="Tools",E116="Repairs"),"Expense","Non-Deductible")))</f>
        <v/>
      </c>
      <c r="G116" t="inlineStr">
        <is>
          <t>Expense</t>
        </is>
      </c>
      <c r="H116">
        <f>IF(G116&lt;&gt;F116,"YES","NO")</f>
        <v/>
      </c>
      <c r="I116" t="inlineStr"/>
      <c r="J116" t="inlineStr"/>
    </row>
    <row r="117">
      <c r="A117" s="5" t="n">
        <v>45721</v>
      </c>
      <c r="B117" t="inlineStr">
        <is>
          <t>Other Withdrawals - Electronic Withdrawal To CEFCU TEL DEBIT</t>
        </is>
      </c>
      <c r="C117" t="n">
        <v>1042.46</v>
      </c>
      <c r="D117" t="inlineStr">
        <is>
          <t>Debit</t>
        </is>
      </c>
      <c r="E117" t="inlineStr">
        <is>
          <t>Tools</t>
        </is>
      </c>
      <c r="F117">
        <f>IF(E117="Income","Revenue",IF(OR(E117="Materials",E117="Labor",E117="Dump Fees"),"COGS",IF(OR(E117="Fuel",E117="Insurance",E117="Tools",E117="Repairs"),"Expense","Non-Deductible")))</f>
        <v/>
      </c>
      <c r="G117" t="inlineStr">
        <is>
          <t>Expense</t>
        </is>
      </c>
      <c r="H117">
        <f>IF(G117&lt;&gt;F117,"YES","NO")</f>
        <v/>
      </c>
      <c r="I117" t="inlineStr"/>
      <c r="J117" t="inlineStr"/>
    </row>
    <row r="118">
      <c r="A118" s="5" t="n">
        <v>45721</v>
      </c>
      <c r="B118" t="inlineStr">
        <is>
          <t>Other Withdrawals - Electronic Withdrawal To DISCOVER</t>
        </is>
      </c>
      <c r="C118" t="n">
        <v>2000</v>
      </c>
      <c r="D118" t="inlineStr">
        <is>
          <t>Debit</t>
        </is>
      </c>
      <c r="E118" t="inlineStr">
        <is>
          <t>Tools</t>
        </is>
      </c>
      <c r="F118">
        <f>IF(E118="Income","Revenue",IF(OR(E118="Materials",E118="Labor",E118="Dump Fees"),"COGS",IF(OR(E118="Fuel",E118="Insurance",E118="Tools",E118="Repairs"),"Expense","Non-Deductible")))</f>
        <v/>
      </c>
      <c r="G118" t="inlineStr">
        <is>
          <t>Expense</t>
        </is>
      </c>
      <c r="H118">
        <f>IF(G118&lt;&gt;F118,"YES","NO")</f>
        <v/>
      </c>
      <c r="I118" t="inlineStr"/>
      <c r="J118" t="inlineStr"/>
    </row>
    <row r="119">
      <c r="A119" s="5" t="n">
        <v>45721</v>
      </c>
      <c r="B119" t="inlineStr">
        <is>
          <t>Other Withdrawals - Electronic Withdrawal To MERCURY CARD FBT</t>
        </is>
      </c>
      <c r="C119" t="n">
        <v>1029.15</v>
      </c>
      <c r="D119" t="inlineStr">
        <is>
          <t>Debit</t>
        </is>
      </c>
      <c r="E119" t="inlineStr">
        <is>
          <t>Tools</t>
        </is>
      </c>
      <c r="F119">
        <f>IF(E119="Income","Revenue",IF(OR(E119="Materials",E119="Labor",E119="Dump Fees"),"COGS",IF(OR(E119="Fuel",E119="Insurance",E119="Tools",E119="Repairs"),"Expense","Non-Deductible")))</f>
        <v/>
      </c>
      <c r="G119" t="inlineStr">
        <is>
          <t>Expense</t>
        </is>
      </c>
      <c r="H119">
        <f>IF(G119&lt;&gt;F119,"YES","NO")</f>
        <v/>
      </c>
      <c r="I119" t="inlineStr"/>
      <c r="J119" t="inlineStr"/>
    </row>
    <row r="120">
      <c r="A120" s="5" t="n">
        <v>45722</v>
      </c>
      <c r="B120" t="inlineStr">
        <is>
          <t>Card Withdrawals - Debit Purchase - VISA On 030425 800-453-7638 TX 4104470908</t>
        </is>
      </c>
      <c r="C120" t="n">
        <v>132</v>
      </c>
      <c r="D120" t="inlineStr">
        <is>
          <t>Debit</t>
        </is>
      </c>
      <c r="E120" t="inlineStr">
        <is>
          <t>Tools</t>
        </is>
      </c>
      <c r="F120">
        <f>IF(E120="Income","Revenue",IF(OR(E120="Materials",E120="Labor",E120="Dump Fees"),"COGS",IF(OR(E120="Fuel",E120="Insurance",E120="Tools",E120="Repairs"),"Expense","Non-Deductible")))</f>
        <v/>
      </c>
      <c r="G120" t="inlineStr">
        <is>
          <t>Expense</t>
        </is>
      </c>
      <c r="H120">
        <f>IF(G120&lt;&gt;F120,"YES","NO")</f>
        <v/>
      </c>
      <c r="I120" t="inlineStr"/>
      <c r="J120" t="inlineStr"/>
    </row>
    <row r="121">
      <c r="A121" s="5" t="n">
        <v>45722</v>
      </c>
      <c r="B121" t="inlineStr">
        <is>
          <t>Other Withdrawals - Deposited Item Returned 1000102136</t>
        </is>
      </c>
      <c r="C121" t="n">
        <v>4050.09</v>
      </c>
      <c r="D121" t="inlineStr">
        <is>
          <t>Debit</t>
        </is>
      </c>
      <c r="E121" t="inlineStr">
        <is>
          <t>Tools</t>
        </is>
      </c>
      <c r="F121">
        <f>IF(E121="Income","Revenue",IF(OR(E121="Materials",E121="Labor",E121="Dump Fees"),"COGS",IF(OR(E121="Fuel",E121="Insurance",E121="Tools",E121="Repairs"),"Expense","Non-Deductible")))</f>
        <v/>
      </c>
      <c r="G121" t="inlineStr">
        <is>
          <t>Expense</t>
        </is>
      </c>
      <c r="H121">
        <f>IF(G121&lt;&gt;F121,"YES","NO")</f>
        <v/>
      </c>
      <c r="I121" t="inlineStr"/>
      <c r="J121" t="inlineStr"/>
    </row>
    <row r="122">
      <c r="A122" s="5" t="n">
        <v>45723</v>
      </c>
      <c r="B122" t="inlineStr">
        <is>
          <t>Other Withdrawals - Mobile Banking Transfer To Account 152316874980</t>
        </is>
      </c>
      <c r="C122" t="n">
        <v>135</v>
      </c>
      <c r="D122" t="inlineStr">
        <is>
          <t>Debit</t>
        </is>
      </c>
      <c r="E122" t="inlineStr">
        <is>
          <t>Transfer</t>
        </is>
      </c>
      <c r="F122">
        <f>IF(E122="Income","Revenue",IF(OR(E122="Materials",E122="Labor",E122="Dump Fees"),"COGS",IF(OR(E122="Fuel",E122="Insurance",E122="Tools",E122="Repairs"),"Expense","Non-Deductible")))</f>
        <v/>
      </c>
      <c r="G122" t="inlineStr">
        <is>
          <t>Non-Deductible</t>
        </is>
      </c>
      <c r="H122">
        <f>IF(G122&lt;&gt;F122,"YES","NO")</f>
        <v/>
      </c>
      <c r="I122" t="inlineStr"/>
      <c r="J122" t="inlineStr"/>
    </row>
    <row r="123">
      <c r="A123" s="5" t="n">
        <v>45723</v>
      </c>
      <c r="B123" t="inlineStr">
        <is>
          <t>Other Withdrawals - Zelle Instant PMT To Casey Williamson</t>
        </is>
      </c>
      <c r="C123" t="n">
        <v>600</v>
      </c>
      <c r="D123" t="inlineStr">
        <is>
          <t>Debit</t>
        </is>
      </c>
      <c r="E123" t="inlineStr">
        <is>
          <t>Labor</t>
        </is>
      </c>
      <c r="F123">
        <f>IF(E123="Income","Revenue",IF(OR(E123="Materials",E123="Labor",E123="Dump Fees"),"COGS",IF(OR(E123="Fuel",E123="Insurance",E123="Tools",E123="Repairs"),"Expense","Non-Deductible")))</f>
        <v/>
      </c>
      <c r="G123" t="inlineStr">
        <is>
          <t>COGS</t>
        </is>
      </c>
      <c r="H123">
        <f>IF(G123&lt;&gt;F123,"YES","NO")</f>
        <v/>
      </c>
      <c r="I123" t="inlineStr"/>
      <c r="J123" t="inlineStr">
        <is>
          <t>Casey</t>
        </is>
      </c>
    </row>
    <row r="124">
      <c r="A124" s="5" t="n">
        <v>45726</v>
      </c>
      <c r="B124" t="inlineStr">
        <is>
          <t>Card Withdrawals - Debit Purchase MOTOMART #3151 1 SHILOH IL</t>
        </is>
      </c>
      <c r="C124" t="n">
        <v>82.23</v>
      </c>
      <c r="D124" t="inlineStr">
        <is>
          <t>Debit</t>
        </is>
      </c>
      <c r="E124" t="inlineStr">
        <is>
          <t>Tools</t>
        </is>
      </c>
      <c r="F124">
        <f>IF(E124="Income","Revenue",IF(OR(E124="Materials",E124="Labor",E124="Dump Fees"),"COGS",IF(OR(E124="Fuel",E124="Insurance",E124="Tools",E124="Repairs"),"Expense","Non-Deductible")))</f>
        <v/>
      </c>
      <c r="G124" t="inlineStr">
        <is>
          <t>Expense</t>
        </is>
      </c>
      <c r="H124">
        <f>IF(G124&lt;&gt;F124,"YES","NO")</f>
        <v/>
      </c>
      <c r="I124" t="inlineStr"/>
      <c r="J124" t="inlineStr"/>
    </row>
    <row r="125">
      <c r="A125" s="5" t="n">
        <v>45729</v>
      </c>
      <c r="B125" t="inlineStr">
        <is>
          <t>Card Withdrawals - Debit Purchase - VISA On 031225 888-5741301 SD 1000152197</t>
        </is>
      </c>
      <c r="C125" t="n">
        <v>330</v>
      </c>
      <c r="D125" t="inlineStr">
        <is>
          <t>Debit</t>
        </is>
      </c>
      <c r="E125" t="inlineStr">
        <is>
          <t>Tools</t>
        </is>
      </c>
      <c r="F125">
        <f>IF(E125="Income","Revenue",IF(OR(E125="Materials",E125="Labor",E125="Dump Fees"),"COGS",IF(OR(E125="Fuel",E125="Insurance",E125="Tools",E125="Repairs"),"Expense","Non-Deductible")))</f>
        <v/>
      </c>
      <c r="G125" t="inlineStr">
        <is>
          <t>Expense</t>
        </is>
      </c>
      <c r="H125">
        <f>IF(G125&lt;&gt;F125,"YES","NO")</f>
        <v/>
      </c>
      <c r="I125" t="inlineStr"/>
      <c r="J125" t="inlineStr"/>
    </row>
    <row r="126">
      <c r="A126" s="5" t="n">
        <v>45730</v>
      </c>
      <c r="B126" t="inlineStr">
        <is>
          <t>Other Withdrawals - Analysis Service Charge 1400000000</t>
        </is>
      </c>
      <c r="C126" t="n">
        <v>16</v>
      </c>
      <c r="D126" t="inlineStr">
        <is>
          <t>Debit</t>
        </is>
      </c>
      <c r="E126" t="inlineStr">
        <is>
          <t>Repairs</t>
        </is>
      </c>
      <c r="F126">
        <f>IF(E126="Income","Revenue",IF(OR(E126="Materials",E126="Labor",E126="Dump Fees"),"COGS",IF(OR(E126="Fuel",E126="Insurance",E126="Tools",E126="Repairs"),"Expense","Non-Deductible")))</f>
        <v/>
      </c>
      <c r="G126" t="inlineStr">
        <is>
          <t>Expense</t>
        </is>
      </c>
      <c r="H126">
        <f>IF(G126&lt;&gt;F126,"YES","NO")</f>
        <v/>
      </c>
      <c r="I126" t="inlineStr"/>
      <c r="J126" t="inlineStr"/>
    </row>
    <row r="127">
      <c r="A127" s="5" t="n">
        <v>45730</v>
      </c>
      <c r="B127" t="inlineStr">
        <is>
          <t>Other Withdrawals - Zelle Instant PMT To Brian Davis</t>
        </is>
      </c>
      <c r="C127" t="n">
        <v>893</v>
      </c>
      <c r="D127" t="inlineStr">
        <is>
          <t>Debit</t>
        </is>
      </c>
      <c r="E127" t="inlineStr">
        <is>
          <t>Labor</t>
        </is>
      </c>
      <c r="F127">
        <f>IF(E127="Income","Revenue",IF(OR(E127="Materials",E127="Labor",E127="Dump Fees"),"COGS",IF(OR(E127="Fuel",E127="Insurance",E127="Tools",E127="Repairs"),"Expense","Non-Deductible")))</f>
        <v/>
      </c>
      <c r="G127" t="inlineStr">
        <is>
          <t>COGS</t>
        </is>
      </c>
      <c r="H127">
        <f>IF(G127&lt;&gt;F127,"YES","NO")</f>
        <v/>
      </c>
      <c r="I127" t="inlineStr"/>
      <c r="J127" t="inlineStr">
        <is>
          <t>Bryan</t>
        </is>
      </c>
    </row>
    <row r="128">
      <c r="A128" s="5" t="n">
        <v>45730</v>
      </c>
      <c r="B128" t="inlineStr">
        <is>
          <t>Other Withdrawals - Zelle Instant PMT To Casey Williamson</t>
        </is>
      </c>
      <c r="C128" t="n">
        <v>800</v>
      </c>
      <c r="D128" t="inlineStr">
        <is>
          <t>Debit</t>
        </is>
      </c>
      <c r="E128" t="inlineStr">
        <is>
          <t>Labor</t>
        </is>
      </c>
      <c r="F128">
        <f>IF(E128="Income","Revenue",IF(OR(E128="Materials",E128="Labor",E128="Dump Fees"),"COGS",IF(OR(E128="Fuel",E128="Insurance",E128="Tools",E128="Repairs"),"Expense","Non-Deductible")))</f>
        <v/>
      </c>
      <c r="G128" t="inlineStr">
        <is>
          <t>COGS</t>
        </is>
      </c>
      <c r="H128">
        <f>IF(G128&lt;&gt;F128,"YES","NO")</f>
        <v/>
      </c>
      <c r="I128" t="inlineStr"/>
      <c r="J128" t="inlineStr">
        <is>
          <t>Casey</t>
        </is>
      </c>
    </row>
    <row r="129">
      <c r="A129" s="5" t="n">
        <v>45730</v>
      </c>
      <c r="B129" t="inlineStr">
        <is>
          <t>Other Withdrawals - Zelle Instant PMT To Nadia Session</t>
        </is>
      </c>
      <c r="C129" t="n">
        <v>100</v>
      </c>
      <c r="D129" t="inlineStr">
        <is>
          <t>Debit</t>
        </is>
      </c>
      <c r="E129" t="inlineStr">
        <is>
          <t>Tools</t>
        </is>
      </c>
      <c r="F129">
        <f>IF(E129="Income","Revenue",IF(OR(E129="Materials",E129="Labor",E129="Dump Fees"),"COGS",IF(OR(E129="Fuel",E129="Insurance",E129="Tools",E129="Repairs"),"Expense","Non-Deductible")))</f>
        <v/>
      </c>
      <c r="G129" t="inlineStr">
        <is>
          <t>Expense</t>
        </is>
      </c>
      <c r="H129">
        <f>IF(G129&lt;&gt;F129,"YES","NO")</f>
        <v/>
      </c>
      <c r="I129" t="inlineStr"/>
      <c r="J129" t="inlineStr"/>
    </row>
    <row r="130">
      <c r="A130" s="5" t="n">
        <v>45733</v>
      </c>
      <c r="B130" t="inlineStr">
        <is>
          <t>Card Withdrawals - Debit Purchase - VISA On 031425 4029357733 CA 5510276275</t>
        </is>
      </c>
      <c r="C130" t="n">
        <v>509</v>
      </c>
      <c r="D130" t="inlineStr">
        <is>
          <t>Debit</t>
        </is>
      </c>
      <c r="E130" t="inlineStr">
        <is>
          <t>Tools</t>
        </is>
      </c>
      <c r="F130">
        <f>IF(E130="Income","Revenue",IF(OR(E130="Materials",E130="Labor",E130="Dump Fees"),"COGS",IF(OR(E130="Fuel",E130="Insurance",E130="Tools",E130="Repairs"),"Expense","Non-Deductible")))</f>
        <v/>
      </c>
      <c r="G130" t="inlineStr">
        <is>
          <t>Expense</t>
        </is>
      </c>
      <c r="H130">
        <f>IF(G130&lt;&gt;F130,"YES","NO")</f>
        <v/>
      </c>
      <c r="I130" t="inlineStr"/>
      <c r="J130" t="inlineStr"/>
    </row>
    <row r="131">
      <c r="A131" s="5" t="n">
        <v>45733</v>
      </c>
      <c r="B131" t="inlineStr">
        <is>
          <t>Card Withdrawals - Debit Purchase - VISA On 031425 Visa Direct NY 3000232828</t>
        </is>
      </c>
      <c r="C131" t="n">
        <v>200</v>
      </c>
      <c r="D131" t="inlineStr">
        <is>
          <t>Debit</t>
        </is>
      </c>
      <c r="E131" t="inlineStr">
        <is>
          <t>Tools</t>
        </is>
      </c>
      <c r="F131">
        <f>IF(E131="Income","Revenue",IF(OR(E131="Materials",E131="Labor",E131="Dump Fees"),"COGS",IF(OR(E131="Fuel",E131="Insurance",E131="Tools",E131="Repairs"),"Expense","Non-Deductible")))</f>
        <v/>
      </c>
      <c r="G131" t="inlineStr">
        <is>
          <t>Expense</t>
        </is>
      </c>
      <c r="H131">
        <f>IF(G131&lt;&gt;F131,"YES","NO")</f>
        <v/>
      </c>
      <c r="I131" t="inlineStr"/>
      <c r="J131" t="inlineStr"/>
    </row>
    <row r="132">
      <c r="A132" s="5" t="n">
        <v>45733</v>
      </c>
      <c r="B132" t="inlineStr">
        <is>
          <t>Other Withdrawals - Electronic Withdrawal To CATHOLIC CCU</t>
        </is>
      </c>
      <c r="C132" t="n">
        <v>572.5</v>
      </c>
      <c r="D132" t="inlineStr">
        <is>
          <t>Debit</t>
        </is>
      </c>
      <c r="E132" t="inlineStr">
        <is>
          <t>Tools</t>
        </is>
      </c>
      <c r="F132">
        <f>IF(E132="Income","Revenue",IF(OR(E132="Materials",E132="Labor",E132="Dump Fees"),"COGS",IF(OR(E132="Fuel",E132="Insurance",E132="Tools",E132="Repairs"),"Expense","Non-Deductible")))</f>
        <v/>
      </c>
      <c r="G132" t="inlineStr">
        <is>
          <t>Expense</t>
        </is>
      </c>
      <c r="H132">
        <f>IF(G132&lt;&gt;F132,"YES","NO")</f>
        <v/>
      </c>
      <c r="I132" t="inlineStr"/>
      <c r="J132" t="inlineStr"/>
    </row>
    <row r="133">
      <c r="A133" s="5" t="n">
        <v>45733</v>
      </c>
      <c r="B133" t="inlineStr">
        <is>
          <t>Other Withdrawals - Electronic Withdrawal To DISCOVER</t>
        </is>
      </c>
      <c r="C133" t="n">
        <v>2000</v>
      </c>
      <c r="D133" t="inlineStr">
        <is>
          <t>Debit</t>
        </is>
      </c>
      <c r="E133" t="inlineStr">
        <is>
          <t>Tools</t>
        </is>
      </c>
      <c r="F133">
        <f>IF(E133="Income","Revenue",IF(OR(E133="Materials",E133="Labor",E133="Dump Fees"),"COGS",IF(OR(E133="Fuel",E133="Insurance",E133="Tools",E133="Repairs"),"Expense","Non-Deductible")))</f>
        <v/>
      </c>
      <c r="G133" t="inlineStr">
        <is>
          <t>Expense</t>
        </is>
      </c>
      <c r="H133">
        <f>IF(G133&lt;&gt;F133,"YES","NO")</f>
        <v/>
      </c>
      <c r="I133" t="inlineStr"/>
      <c r="J133" t="inlineStr"/>
    </row>
    <row r="134">
      <c r="A134" s="5" t="n">
        <v>45733</v>
      </c>
      <c r="B134" t="inlineStr">
        <is>
          <t>Other Withdrawals - Electronic Withdrawal To MERCURY CARD FBT</t>
        </is>
      </c>
      <c r="C134" t="n">
        <v>1379.42</v>
      </c>
      <c r="D134" t="inlineStr">
        <is>
          <t>Debit</t>
        </is>
      </c>
      <c r="E134" t="inlineStr">
        <is>
          <t>Tools</t>
        </is>
      </c>
      <c r="F134">
        <f>IF(E134="Income","Revenue",IF(OR(E134="Materials",E134="Labor",E134="Dump Fees"),"COGS",IF(OR(E134="Fuel",E134="Insurance",E134="Tools",E134="Repairs"),"Expense","Non-Deductible")))</f>
        <v/>
      </c>
      <c r="G134" t="inlineStr">
        <is>
          <t>Expense</t>
        </is>
      </c>
      <c r="H134">
        <f>IF(G134&lt;&gt;F134,"YES","NO")</f>
        <v/>
      </c>
      <c r="I134" t="inlineStr"/>
      <c r="J134" t="inlineStr"/>
    </row>
    <row r="135">
      <c r="A135" s="5" t="n">
        <v>45734</v>
      </c>
      <c r="B135" t="inlineStr">
        <is>
          <t>Other Withdrawals - Electronic Withdrawal To MIDLAND MTG</t>
        </is>
      </c>
      <c r="C135" t="n">
        <v>989.5599999999999</v>
      </c>
      <c r="D135" t="inlineStr">
        <is>
          <t>Debit</t>
        </is>
      </c>
      <c r="E135" t="inlineStr">
        <is>
          <t>Tools</t>
        </is>
      </c>
      <c r="F135">
        <f>IF(E135="Income","Revenue",IF(OR(E135="Materials",E135="Labor",E135="Dump Fees"),"COGS",IF(OR(E135="Fuel",E135="Insurance",E135="Tools",E135="Repairs"),"Expense","Non-Deductible")))</f>
        <v/>
      </c>
      <c r="G135" t="inlineStr">
        <is>
          <t>Expense</t>
        </is>
      </c>
      <c r="H135">
        <f>IF(G135&lt;&gt;F135,"YES","NO")</f>
        <v/>
      </c>
      <c r="I135" t="inlineStr"/>
      <c r="J135" t="inlineStr"/>
    </row>
    <row r="136">
      <c r="A136" s="5" t="n">
        <v>45735</v>
      </c>
      <c r="B136" t="inlineStr">
        <is>
          <t>Other Withdrawals - Mobile Banking Payment To Credit Card *************3424</t>
        </is>
      </c>
      <c r="C136" t="n">
        <v>1140.51</v>
      </c>
      <c r="D136" t="inlineStr">
        <is>
          <t>Debit</t>
        </is>
      </c>
      <c r="E136" t="inlineStr">
        <is>
          <t>Fuel</t>
        </is>
      </c>
      <c r="F136">
        <f>IF(E136="Income","Revenue",IF(OR(E136="Materials",E136="Labor",E136="Dump Fees"),"COGS",IF(OR(E136="Fuel",E136="Insurance",E136="Tools",E136="Repairs"),"Expense","Non-Deductible")))</f>
        <v/>
      </c>
      <c r="G136" t="inlineStr">
        <is>
          <t>Expense</t>
        </is>
      </c>
      <c r="H136">
        <f>IF(G136&lt;&gt;F136,"YES","NO")</f>
        <v/>
      </c>
      <c r="I136" t="inlineStr"/>
      <c r="J136" t="inlineStr"/>
    </row>
    <row r="137">
      <c r="A137" s="5" t="n">
        <v>45736</v>
      </c>
      <c r="B137" t="inlineStr">
        <is>
          <t>Card Withdrawals - Debit Purchase - VISA On 031925 Freeburg IL 8103396533</t>
        </is>
      </c>
      <c r="C137" t="n">
        <v>4.52</v>
      </c>
      <c r="D137" t="inlineStr">
        <is>
          <t>Debit</t>
        </is>
      </c>
      <c r="E137" t="inlineStr">
        <is>
          <t>Tools</t>
        </is>
      </c>
      <c r="F137">
        <f>IF(E137="Income","Revenue",IF(OR(E137="Materials",E137="Labor",E137="Dump Fees"),"COGS",IF(OR(E137="Fuel",E137="Insurance",E137="Tools",E137="Repairs"),"Expense","Non-Deductible")))</f>
        <v/>
      </c>
      <c r="G137" t="inlineStr">
        <is>
          <t>Expense</t>
        </is>
      </c>
      <c r="H137">
        <f>IF(G137&lt;&gt;F137,"YES","NO")</f>
        <v/>
      </c>
      <c r="I137" t="inlineStr"/>
      <c r="J137" t="inlineStr"/>
    </row>
    <row r="138">
      <c r="A138" s="5" t="n">
        <v>45736</v>
      </c>
      <c r="B138" t="inlineStr">
        <is>
          <t>Other Withdrawals - Electronic Withdrawal To DISCOVER</t>
        </is>
      </c>
      <c r="C138" t="n">
        <v>2000</v>
      </c>
      <c r="D138" t="inlineStr">
        <is>
          <t>Debit</t>
        </is>
      </c>
      <c r="E138" t="inlineStr">
        <is>
          <t>Tools</t>
        </is>
      </c>
      <c r="F138">
        <f>IF(E138="Income","Revenue",IF(OR(E138="Materials",E138="Labor",E138="Dump Fees"),"COGS",IF(OR(E138="Fuel",E138="Insurance",E138="Tools",E138="Repairs"),"Expense","Non-Deductible")))</f>
        <v/>
      </c>
      <c r="G138" t="inlineStr">
        <is>
          <t>Expense</t>
        </is>
      </c>
      <c r="H138">
        <f>IF(G138&lt;&gt;F138,"YES","NO")</f>
        <v/>
      </c>
      <c r="I138" t="inlineStr"/>
      <c r="J138" t="inlineStr"/>
    </row>
    <row r="139">
      <c r="A139" s="5" t="n">
        <v>45737</v>
      </c>
      <c r="B139" t="inlineStr">
        <is>
          <t>Other Withdrawals - Zelle Instant PMT To Casey Williamson</t>
        </is>
      </c>
      <c r="C139" t="n">
        <v>675</v>
      </c>
      <c r="D139" t="inlineStr">
        <is>
          <t>Debit</t>
        </is>
      </c>
      <c r="E139" t="inlineStr">
        <is>
          <t>Labor</t>
        </is>
      </c>
      <c r="F139">
        <f>IF(E139="Income","Revenue",IF(OR(E139="Materials",E139="Labor",E139="Dump Fees"),"COGS",IF(OR(E139="Fuel",E139="Insurance",E139="Tools",E139="Repairs"),"Expense","Non-Deductible")))</f>
        <v/>
      </c>
      <c r="G139" t="inlineStr">
        <is>
          <t>COGS</t>
        </is>
      </c>
      <c r="H139">
        <f>IF(G139&lt;&gt;F139,"YES","NO")</f>
        <v/>
      </c>
      <c r="I139" t="inlineStr"/>
      <c r="J139" t="inlineStr">
        <is>
          <t>Casey</t>
        </is>
      </c>
    </row>
    <row r="140">
      <c r="A140" s="5" t="n">
        <v>45741</v>
      </c>
      <c r="B140" t="inlineStr">
        <is>
          <t>Other Withdrawals - Customer Withdrawal 8314494754</t>
        </is>
      </c>
      <c r="C140" t="n">
        <v>600</v>
      </c>
      <c r="D140" t="inlineStr">
        <is>
          <t>Debit</t>
        </is>
      </c>
      <c r="E140" t="inlineStr">
        <is>
          <t>Tools</t>
        </is>
      </c>
      <c r="F140">
        <f>IF(E140="Income","Revenue",IF(OR(E140="Materials",E140="Labor",E140="Dump Fees"),"COGS",IF(OR(E140="Fuel",E140="Insurance",E140="Tools",E140="Repairs"),"Expense","Non-Deductible")))</f>
        <v/>
      </c>
      <c r="G140" t="inlineStr">
        <is>
          <t>Expense</t>
        </is>
      </c>
      <c r="H140">
        <f>IF(G140&lt;&gt;F140,"YES","NO")</f>
        <v/>
      </c>
      <c r="I140" t="inlineStr"/>
      <c r="J140" t="inlineStr"/>
    </row>
    <row r="141">
      <c r="A141" s="5" t="n">
        <v>45742</v>
      </c>
      <c r="B141" t="inlineStr">
        <is>
          <t>Card Withdrawals - Recurring Debit Purchase On 032525 888-270-2644 IN 5109006614</t>
        </is>
      </c>
      <c r="C141" t="n">
        <v>817.5</v>
      </c>
      <c r="D141" t="inlineStr">
        <is>
          <t>Debit</t>
        </is>
      </c>
      <c r="E141" t="inlineStr">
        <is>
          <t>Tools</t>
        </is>
      </c>
      <c r="F141">
        <f>IF(E141="Income","Revenue",IF(OR(E141="Materials",E141="Labor",E141="Dump Fees"),"COGS",IF(OR(E141="Fuel",E141="Insurance",E141="Tools",E141="Repairs"),"Expense","Non-Deductible")))</f>
        <v/>
      </c>
      <c r="G141" t="inlineStr">
        <is>
          <t>Expense</t>
        </is>
      </c>
      <c r="H141">
        <f>IF(G141&lt;&gt;F141,"YES","NO")</f>
        <v/>
      </c>
      <c r="I141" t="inlineStr"/>
      <c r="J141" t="inlineStr"/>
    </row>
    <row r="142">
      <c r="A142" s="5" t="n">
        <v>45744</v>
      </c>
      <c r="B142" t="inlineStr">
        <is>
          <t>Other Withdrawals - Mobile Banking Transfer To Account 152316875235</t>
        </is>
      </c>
      <c r="C142" t="n">
        <v>300</v>
      </c>
      <c r="D142" t="inlineStr">
        <is>
          <t>Debit</t>
        </is>
      </c>
      <c r="E142" t="inlineStr">
        <is>
          <t>Transfer</t>
        </is>
      </c>
      <c r="F142">
        <f>IF(E142="Income","Revenue",IF(OR(E142="Materials",E142="Labor",E142="Dump Fees"),"COGS",IF(OR(E142="Fuel",E142="Insurance",E142="Tools",E142="Repairs"),"Expense","Non-Deductible")))</f>
        <v/>
      </c>
      <c r="G142" t="inlineStr">
        <is>
          <t>Non-Deductible</t>
        </is>
      </c>
      <c r="H142">
        <f>IF(G142&lt;&gt;F142,"YES","NO")</f>
        <v/>
      </c>
      <c r="I142" t="inlineStr"/>
      <c r="J142" t="inlineStr"/>
    </row>
    <row r="143">
      <c r="A143" s="5" t="n">
        <v>45744</v>
      </c>
      <c r="B143" t="inlineStr">
        <is>
          <t>Other Withdrawals - Zelle Instant PMT To Brian Davis</t>
        </is>
      </c>
      <c r="C143" t="n">
        <v>100</v>
      </c>
      <c r="D143" t="inlineStr">
        <is>
          <t>Debit</t>
        </is>
      </c>
      <c r="E143" t="inlineStr">
        <is>
          <t>Labor</t>
        </is>
      </c>
      <c r="F143">
        <f>IF(E143="Income","Revenue",IF(OR(E143="Materials",E143="Labor",E143="Dump Fees"),"COGS",IF(OR(E143="Fuel",E143="Insurance",E143="Tools",E143="Repairs"),"Expense","Non-Deductible")))</f>
        <v/>
      </c>
      <c r="G143" t="inlineStr">
        <is>
          <t>COGS</t>
        </is>
      </c>
      <c r="H143">
        <f>IF(G143&lt;&gt;F143,"YES","NO")</f>
        <v/>
      </c>
      <c r="I143" t="inlineStr"/>
      <c r="J143" t="inlineStr">
        <is>
          <t>Bryan</t>
        </is>
      </c>
    </row>
    <row r="144">
      <c r="A144" s="5" t="n">
        <v>45744</v>
      </c>
      <c r="B144" t="inlineStr">
        <is>
          <t>Other Withdrawals - Zelle Instant PMT To Brian Davis</t>
        </is>
      </c>
      <c r="C144" t="n">
        <v>440</v>
      </c>
      <c r="D144" t="inlineStr">
        <is>
          <t>Debit</t>
        </is>
      </c>
      <c r="E144" t="inlineStr">
        <is>
          <t>Labor</t>
        </is>
      </c>
      <c r="F144">
        <f>IF(E144="Income","Revenue",IF(OR(E144="Materials",E144="Labor",E144="Dump Fees"),"COGS",IF(OR(E144="Fuel",E144="Insurance",E144="Tools",E144="Repairs"),"Expense","Non-Deductible")))</f>
        <v/>
      </c>
      <c r="G144" t="inlineStr">
        <is>
          <t>COGS</t>
        </is>
      </c>
      <c r="H144">
        <f>IF(G144&lt;&gt;F144,"YES","NO")</f>
        <v/>
      </c>
      <c r="I144" t="inlineStr"/>
      <c r="J144" t="inlineStr">
        <is>
          <t>Bryan</t>
        </is>
      </c>
    </row>
    <row r="145">
      <c r="A145" s="5" t="n">
        <v>45744</v>
      </c>
      <c r="B145" t="inlineStr">
        <is>
          <t>Other Withdrawals - Zelle Instant PMT To Casey Williamson</t>
        </is>
      </c>
      <c r="C145" t="n">
        <v>500</v>
      </c>
      <c r="D145" t="inlineStr">
        <is>
          <t>Debit</t>
        </is>
      </c>
      <c r="E145" t="inlineStr">
        <is>
          <t>Labor</t>
        </is>
      </c>
      <c r="F145">
        <f>IF(E145="Income","Revenue",IF(OR(E145="Materials",E145="Labor",E145="Dump Fees"),"COGS",IF(OR(E145="Fuel",E145="Insurance",E145="Tools",E145="Repairs"),"Expense","Non-Deductible")))</f>
        <v/>
      </c>
      <c r="G145" t="inlineStr">
        <is>
          <t>COGS</t>
        </is>
      </c>
      <c r="H145">
        <f>IF(G145&lt;&gt;F145,"YES","NO")</f>
        <v/>
      </c>
      <c r="I145" t="inlineStr"/>
      <c r="J145" t="inlineStr">
        <is>
          <t>Casey</t>
        </is>
      </c>
    </row>
    <row r="146">
      <c r="A146" s="5" t="n">
        <v>45747</v>
      </c>
      <c r="B146" t="inlineStr">
        <is>
          <t>Card Withdrawals - ATM Withdrawal 313 E WASHINGTON MILLSTADT IL</t>
        </is>
      </c>
      <c r="C146" t="n">
        <v>203.25</v>
      </c>
      <c r="D146" t="inlineStr">
        <is>
          <t>Debit</t>
        </is>
      </c>
      <c r="E146" t="inlineStr">
        <is>
          <t>Tools</t>
        </is>
      </c>
      <c r="F146">
        <f>IF(E146="Income","Revenue",IF(OR(E146="Materials",E146="Labor",E146="Dump Fees"),"COGS",IF(OR(E146="Fuel",E146="Insurance",E146="Tools",E146="Repairs"),"Expense","Non-Deductible")))</f>
        <v/>
      </c>
      <c r="G146" t="inlineStr">
        <is>
          <t>Expense</t>
        </is>
      </c>
      <c r="H146">
        <f>IF(G146&lt;&gt;F146,"YES","NO")</f>
        <v/>
      </c>
      <c r="I146" t="inlineStr"/>
      <c r="J146" t="inlineStr"/>
    </row>
    <row r="147">
      <c r="A147" s="5" t="n">
        <v>45747</v>
      </c>
      <c r="B147" t="inlineStr">
        <is>
          <t>Card Withdrawals - Debit Purchase - VISA On 032825 4029357733 CA 9512698027</t>
        </is>
      </c>
      <c r="C147" t="n">
        <v>447.92</v>
      </c>
      <c r="D147" t="inlineStr">
        <is>
          <t>Debit</t>
        </is>
      </c>
      <c r="E147" t="inlineStr">
        <is>
          <t>Tools</t>
        </is>
      </c>
      <c r="F147">
        <f>IF(E147="Income","Revenue",IF(OR(E147="Materials",E147="Labor",E147="Dump Fees"),"COGS",IF(OR(E147="Fuel",E147="Insurance",E147="Tools",E147="Repairs"),"Expense","Non-Deductible")))</f>
        <v/>
      </c>
      <c r="G147" t="inlineStr">
        <is>
          <t>Expense</t>
        </is>
      </c>
      <c r="H147">
        <f>IF(G147&lt;&gt;F147,"YES","NO")</f>
        <v/>
      </c>
      <c r="I147" t="inlineStr"/>
      <c r="J147" t="inlineStr"/>
    </row>
    <row r="148">
      <c r="A148" s="5" t="n">
        <v>45747</v>
      </c>
      <c r="B148" t="inlineStr">
        <is>
          <t>Card Withdrawals - Debit Purchase - VISA On 032825 618-2340105 IL 7900011900</t>
        </is>
      </c>
      <c r="C148" t="n">
        <v>469.61</v>
      </c>
      <c r="D148" t="inlineStr">
        <is>
          <t>Debit</t>
        </is>
      </c>
      <c r="E148" t="inlineStr">
        <is>
          <t>Tools</t>
        </is>
      </c>
      <c r="F148">
        <f>IF(E148="Income","Revenue",IF(OR(E148="Materials",E148="Labor",E148="Dump Fees"),"COGS",IF(OR(E148="Fuel",E148="Insurance",E148="Tools",E148="Repairs"),"Expense","Non-Deductible")))</f>
        <v/>
      </c>
      <c r="G148" t="inlineStr">
        <is>
          <t>Expense</t>
        </is>
      </c>
      <c r="H148">
        <f>IF(G148&lt;&gt;F148,"YES","NO")</f>
        <v/>
      </c>
      <c r="I148" t="inlineStr"/>
      <c r="J148" t="inlineStr"/>
    </row>
    <row r="149">
      <c r="A149" s="5" t="n">
        <v>45747</v>
      </c>
      <c r="B149" t="inlineStr">
        <is>
          <t>Card Withdrawals - Debit Purchase - VISA On 032825 FREEBURG IL 9030040312</t>
        </is>
      </c>
      <c r="C149" t="n">
        <v>45.5</v>
      </c>
      <c r="D149" t="inlineStr">
        <is>
          <t>Debit</t>
        </is>
      </c>
      <c r="E149" t="inlineStr">
        <is>
          <t>Tools</t>
        </is>
      </c>
      <c r="F149">
        <f>IF(E149="Income","Revenue",IF(OR(E149="Materials",E149="Labor",E149="Dump Fees"),"COGS",IF(OR(E149="Fuel",E149="Insurance",E149="Tools",E149="Repairs"),"Expense","Non-Deductible")))</f>
        <v/>
      </c>
      <c r="G149" t="inlineStr">
        <is>
          <t>Expense</t>
        </is>
      </c>
      <c r="H149">
        <f>IF(G149&lt;&gt;F149,"YES","NO")</f>
        <v/>
      </c>
      <c r="I149" t="inlineStr"/>
      <c r="J149" t="inlineStr"/>
    </row>
    <row r="150">
      <c r="A150" s="5" t="n">
        <v>45747</v>
      </c>
      <c r="B150" t="inlineStr">
        <is>
          <t>Card Withdrawals - Debit Purchase - VISA On 032825 NEW ATHENS IL 7900015982</t>
        </is>
      </c>
      <c r="C150" t="n">
        <v>13.47</v>
      </c>
      <c r="D150" t="inlineStr">
        <is>
          <t>Debit</t>
        </is>
      </c>
      <c r="E150" t="inlineStr">
        <is>
          <t>Tools</t>
        </is>
      </c>
      <c r="F150">
        <f>IF(E150="Income","Revenue",IF(OR(E150="Materials",E150="Labor",E150="Dump Fees"),"COGS",IF(OR(E150="Fuel",E150="Insurance",E150="Tools",E150="Repairs"),"Expense","Non-Deductible")))</f>
        <v/>
      </c>
      <c r="G150" t="inlineStr">
        <is>
          <t>Expense</t>
        </is>
      </c>
      <c r="H150">
        <f>IF(G150&lt;&gt;F150,"YES","NO")</f>
        <v/>
      </c>
      <c r="I150" t="inlineStr"/>
      <c r="J150" t="inlineStr"/>
    </row>
    <row r="151">
      <c r="A151" s="5" t="n">
        <v>45747</v>
      </c>
      <c r="B151" t="inlineStr">
        <is>
          <t>Card Withdrawals - Fee ATM Withdrawal At Other Network 3100000342 $</t>
        </is>
      </c>
      <c r="C151" t="n">
        <v>2.5</v>
      </c>
      <c r="D151" t="inlineStr">
        <is>
          <t>Debit</t>
        </is>
      </c>
      <c r="E151" t="inlineStr">
        <is>
          <t>Tools</t>
        </is>
      </c>
      <c r="F151">
        <f>IF(E151="Income","Revenue",IF(OR(E151="Materials",E151="Labor",E151="Dump Fees"),"COGS",IF(OR(E151="Fuel",E151="Insurance",E151="Tools",E151="Repairs"),"Expense","Non-Deductible")))</f>
        <v/>
      </c>
      <c r="G151" t="inlineStr">
        <is>
          <t>Expense</t>
        </is>
      </c>
      <c r="H151">
        <f>IF(G151&lt;&gt;F151,"YES","NO")</f>
        <v/>
      </c>
      <c r="I151" t="inlineStr"/>
      <c r="J151" t="inlineStr"/>
    </row>
    <row r="152">
      <c r="A152" s="5" t="n">
        <v>45747</v>
      </c>
      <c r="B152" t="inlineStr">
        <is>
          <t>Card Withdrawals - Recurring Debit Purchase On 032925 800-956-6310 IL 8177083101</t>
        </is>
      </c>
      <c r="C152" t="n">
        <v>328.77</v>
      </c>
      <c r="D152" t="inlineStr">
        <is>
          <t>Debit</t>
        </is>
      </c>
      <c r="E152" t="inlineStr">
        <is>
          <t>Tools</t>
        </is>
      </c>
      <c r="F152">
        <f>IF(E152="Income","Revenue",IF(OR(E152="Materials",E152="Labor",E152="Dump Fees"),"COGS",IF(OR(E152="Fuel",E152="Insurance",E152="Tools",E152="Repairs"),"Expense","Non-Deductible")))</f>
        <v/>
      </c>
      <c r="G152" t="inlineStr">
        <is>
          <t>Expense</t>
        </is>
      </c>
      <c r="H152">
        <f>IF(G152&lt;&gt;F152,"YES","NO")</f>
        <v/>
      </c>
      <c r="I152" t="inlineStr"/>
      <c r="J152" t="inlineStr"/>
    </row>
    <row r="153">
      <c r="A153" s="5" t="n">
        <v>45748</v>
      </c>
      <c r="B153" t="inlineStr">
        <is>
          <t>Other Deposits - Mobile Check Deposit 8314527129 $</t>
        </is>
      </c>
      <c r="C153" t="n">
        <v>3860</v>
      </c>
      <c r="D153" t="inlineStr">
        <is>
          <t>Credit</t>
        </is>
      </c>
      <c r="E153" t="inlineStr">
        <is>
          <t>Income</t>
        </is>
      </c>
      <c r="F153">
        <f>IF(E153="Income","Revenue",IF(OR(E153="Materials",E153="Labor",E153="Dump Fees"),"COGS",IF(OR(E153="Fuel",E153="Insurance",E153="Tools",E153="Repairs"),"Expense","Non-Deductible")))</f>
        <v/>
      </c>
      <c r="G153" t="inlineStr">
        <is>
          <t>Revenue</t>
        </is>
      </c>
      <c r="H153">
        <f>IF(G153&lt;&gt;F153,"YES","NO")</f>
        <v/>
      </c>
      <c r="I153" t="inlineStr"/>
      <c r="J153" t="inlineStr"/>
    </row>
    <row r="154">
      <c r="A154" s="5" t="n">
        <v>45749</v>
      </c>
      <c r="B154" t="inlineStr">
        <is>
          <t>Card Withdrawals - Debit Purchase - VISA On 033125 BELLEVILLE IL 1104712008 $</t>
        </is>
      </c>
      <c r="C154" t="n">
        <v>22.97</v>
      </c>
      <c r="D154" t="inlineStr">
        <is>
          <t>Debit</t>
        </is>
      </c>
      <c r="E154" t="inlineStr">
        <is>
          <t>Tools</t>
        </is>
      </c>
      <c r="F154">
        <f>IF(E154="Income","Revenue",IF(OR(E154="Materials",E154="Labor",E154="Dump Fees"),"COGS",IF(OR(E154="Fuel",E154="Insurance",E154="Tools",E154="Repairs"),"Expense","Non-Deductible")))</f>
        <v/>
      </c>
      <c r="G154" t="inlineStr">
        <is>
          <t>Expense</t>
        </is>
      </c>
      <c r="H154">
        <f>IF(G154&lt;&gt;F154,"YES","NO")</f>
        <v/>
      </c>
      <c r="I154" t="inlineStr"/>
      <c r="J154" t="inlineStr"/>
    </row>
    <row r="155">
      <c r="A155" s="5" t="n">
        <v>45750</v>
      </c>
      <c r="B155" t="inlineStr">
        <is>
          <t>Other Withdrawals - Electronic Withdrawal To MERCURY CARD FBT $</t>
        </is>
      </c>
      <c r="C155" t="n">
        <v>600</v>
      </c>
      <c r="D155" t="inlineStr">
        <is>
          <t>Debit</t>
        </is>
      </c>
      <c r="E155" t="inlineStr">
        <is>
          <t>Tools</t>
        </is>
      </c>
      <c r="F155">
        <f>IF(E155="Income","Revenue",IF(OR(E155="Materials",E155="Labor",E155="Dump Fees"),"COGS",IF(OR(E155="Fuel",E155="Insurance",E155="Tools",E155="Repairs"),"Expense","Non-Deductible")))</f>
        <v/>
      </c>
      <c r="G155" t="inlineStr">
        <is>
          <t>Expense</t>
        </is>
      </c>
      <c r="H155">
        <f>IF(G155&lt;&gt;F155,"YES","NO")</f>
        <v/>
      </c>
      <c r="I155" t="inlineStr"/>
      <c r="J155" t="inlineStr"/>
    </row>
    <row r="156">
      <c r="A156" s="5" t="n">
        <v>45751</v>
      </c>
      <c r="B156" t="inlineStr">
        <is>
          <t>Card Withdrawals - ATM Withdrawal 10 S BELT W BELLEVILLE IL</t>
        </is>
      </c>
      <c r="C156" t="n">
        <v>103.95</v>
      </c>
      <c r="D156" t="inlineStr">
        <is>
          <t>Debit</t>
        </is>
      </c>
      <c r="E156" t="inlineStr">
        <is>
          <t>Tools</t>
        </is>
      </c>
      <c r="F156">
        <f>IF(E156="Income","Revenue",IF(OR(E156="Materials",E156="Labor",E156="Dump Fees"),"COGS",IF(OR(E156="Fuel",E156="Insurance",E156="Tools",E156="Repairs"),"Expense","Non-Deductible")))</f>
        <v/>
      </c>
      <c r="G156" t="inlineStr">
        <is>
          <t>Expense</t>
        </is>
      </c>
      <c r="H156">
        <f>IF(G156&lt;&gt;F156,"YES","NO")</f>
        <v/>
      </c>
      <c r="I156" t="inlineStr"/>
      <c r="J156" t="inlineStr"/>
    </row>
    <row r="157">
      <c r="A157" s="5" t="n">
        <v>45751</v>
      </c>
      <c r="B157" t="inlineStr">
        <is>
          <t>Card Withdrawals - Fee ATM Withdrawal At Other Network 0400000877 $</t>
        </is>
      </c>
      <c r="C157" t="n">
        <v>2.5</v>
      </c>
      <c r="D157" t="inlineStr">
        <is>
          <t>Debit</t>
        </is>
      </c>
      <c r="E157" t="inlineStr">
        <is>
          <t>Tools</t>
        </is>
      </c>
      <c r="F157">
        <f>IF(E157="Income","Revenue",IF(OR(E157="Materials",E157="Labor",E157="Dump Fees"),"COGS",IF(OR(E157="Fuel",E157="Insurance",E157="Tools",E157="Repairs"),"Expense","Non-Deductible")))</f>
        <v/>
      </c>
      <c r="G157" t="inlineStr">
        <is>
          <t>Expense</t>
        </is>
      </c>
      <c r="H157">
        <f>IF(G157&lt;&gt;F157,"YES","NO")</f>
        <v/>
      </c>
      <c r="I157" t="inlineStr"/>
      <c r="J157" t="inlineStr"/>
    </row>
    <row r="158">
      <c r="A158" s="5" t="n">
        <v>45751</v>
      </c>
      <c r="B158" t="inlineStr">
        <is>
          <t>Other Deposits - Mobile Check Deposit 9213972504</t>
        </is>
      </c>
      <c r="C158" t="n">
        <v>500</v>
      </c>
      <c r="D158" t="inlineStr">
        <is>
          <t>Credit</t>
        </is>
      </c>
      <c r="E158" t="inlineStr">
        <is>
          <t>Income</t>
        </is>
      </c>
      <c r="F158">
        <f>IF(E158="Income","Revenue",IF(OR(E158="Materials",E158="Labor",E158="Dump Fees"),"COGS",IF(OR(E158="Fuel",E158="Insurance",E158="Tools",E158="Repairs"),"Expense","Non-Deductible")))</f>
        <v/>
      </c>
      <c r="G158" t="inlineStr">
        <is>
          <t>Revenue</t>
        </is>
      </c>
      <c r="H158">
        <f>IF(G158&lt;&gt;F158,"YES","NO")</f>
        <v/>
      </c>
      <c r="I158" t="inlineStr"/>
      <c r="J158" t="inlineStr"/>
    </row>
    <row r="159">
      <c r="A159" s="5" t="n">
        <v>45751</v>
      </c>
      <c r="B159" t="inlineStr">
        <is>
          <t>Other Withdrawals - Electronic Withdrawal To CEFCU TEL DEBIT</t>
        </is>
      </c>
      <c r="C159" t="n">
        <v>1042.46</v>
      </c>
      <c r="D159" t="inlineStr">
        <is>
          <t>Debit</t>
        </is>
      </c>
      <c r="E159" t="inlineStr">
        <is>
          <t>Tools</t>
        </is>
      </c>
      <c r="F159">
        <f>IF(E159="Income","Revenue",IF(OR(E159="Materials",E159="Labor",E159="Dump Fees"),"COGS",IF(OR(E159="Fuel",E159="Insurance",E159="Tools",E159="Repairs"),"Expense","Non-Deductible")))</f>
        <v/>
      </c>
      <c r="G159" t="inlineStr">
        <is>
          <t>Expense</t>
        </is>
      </c>
      <c r="H159">
        <f>IF(G159&lt;&gt;F159,"YES","NO")</f>
        <v/>
      </c>
      <c r="I159" t="inlineStr"/>
      <c r="J159" t="inlineStr"/>
    </row>
    <row r="160">
      <c r="A160" s="5" t="n">
        <v>45751</v>
      </c>
      <c r="B160" t="inlineStr">
        <is>
          <t>Other Withdrawals - Mobile Banking Transfer To Account 152316875235</t>
        </is>
      </c>
      <c r="C160" t="n">
        <v>1500</v>
      </c>
      <c r="D160" t="inlineStr">
        <is>
          <t>Debit</t>
        </is>
      </c>
      <c r="E160" t="inlineStr">
        <is>
          <t>Transfer</t>
        </is>
      </c>
      <c r="F160">
        <f>IF(E160="Income","Revenue",IF(OR(E160="Materials",E160="Labor",E160="Dump Fees"),"COGS",IF(OR(E160="Fuel",E160="Insurance",E160="Tools",E160="Repairs"),"Expense","Non-Deductible")))</f>
        <v/>
      </c>
      <c r="G160" t="inlineStr">
        <is>
          <t>Non-Deductible</t>
        </is>
      </c>
      <c r="H160">
        <f>IF(G160&lt;&gt;F160,"YES","NO")</f>
        <v/>
      </c>
      <c r="I160" t="inlineStr"/>
      <c r="J160" t="inlineStr"/>
    </row>
    <row r="161">
      <c r="A161" s="5" t="n">
        <v>45751</v>
      </c>
      <c r="B161" t="inlineStr">
        <is>
          <t>Other Withdrawals - Zelle Instant PMT To Casey Williamson</t>
        </is>
      </c>
      <c r="C161" t="n">
        <v>500</v>
      </c>
      <c r="D161" t="inlineStr">
        <is>
          <t>Debit</t>
        </is>
      </c>
      <c r="E161" t="inlineStr">
        <is>
          <t>Labor</t>
        </is>
      </c>
      <c r="F161">
        <f>IF(E161="Income","Revenue",IF(OR(E161="Materials",E161="Labor",E161="Dump Fees"),"COGS",IF(OR(E161="Fuel",E161="Insurance",E161="Tools",E161="Repairs"),"Expense","Non-Deductible")))</f>
        <v/>
      </c>
      <c r="G161" t="inlineStr">
        <is>
          <t>COGS</t>
        </is>
      </c>
      <c r="H161">
        <f>IF(G161&lt;&gt;F161,"YES","NO")</f>
        <v/>
      </c>
      <c r="I161" t="inlineStr"/>
      <c r="J161" t="inlineStr">
        <is>
          <t>Casey</t>
        </is>
      </c>
    </row>
    <row r="162">
      <c r="A162" s="5" t="n">
        <v>45751</v>
      </c>
      <c r="B162" t="inlineStr">
        <is>
          <t>Other Withdrawals - Zelle Instant PMT To Nadia Session</t>
        </is>
      </c>
      <c r="C162" t="n">
        <v>100</v>
      </c>
      <c r="D162" t="inlineStr">
        <is>
          <t>Debit</t>
        </is>
      </c>
      <c r="E162" t="inlineStr">
        <is>
          <t>Tools</t>
        </is>
      </c>
      <c r="F162">
        <f>IF(E162="Income","Revenue",IF(OR(E162="Materials",E162="Labor",E162="Dump Fees"),"COGS",IF(OR(E162="Fuel",E162="Insurance",E162="Tools",E162="Repairs"),"Expense","Non-Deductible")))</f>
        <v/>
      </c>
      <c r="G162" t="inlineStr">
        <is>
          <t>Expense</t>
        </is>
      </c>
      <c r="H162">
        <f>IF(G162&lt;&gt;F162,"YES","NO")</f>
        <v/>
      </c>
      <c r="I162" t="inlineStr"/>
      <c r="J162" t="inlineStr"/>
    </row>
    <row r="163">
      <c r="A163" s="5" t="n">
        <v>45754</v>
      </c>
      <c r="B163" t="inlineStr">
        <is>
          <t>Card Withdrawals - Debit Purchase - VISA On 040425 4029357733 CA 6513928598</t>
        </is>
      </c>
      <c r="C163" t="n">
        <v>82.48999999999999</v>
      </c>
      <c r="D163" t="inlineStr">
        <is>
          <t>Debit</t>
        </is>
      </c>
      <c r="E163" t="inlineStr">
        <is>
          <t>Tools</t>
        </is>
      </c>
      <c r="F163">
        <f>IF(E163="Income","Revenue",IF(OR(E163="Materials",E163="Labor",E163="Dump Fees"),"COGS",IF(OR(E163="Fuel",E163="Insurance",E163="Tools",E163="Repairs"),"Expense","Non-Deductible")))</f>
        <v/>
      </c>
      <c r="G163" t="inlineStr">
        <is>
          <t>Expense</t>
        </is>
      </c>
      <c r="H163">
        <f>IF(G163&lt;&gt;F163,"YES","NO")</f>
        <v/>
      </c>
      <c r="I163" t="inlineStr"/>
      <c r="J163" t="inlineStr"/>
    </row>
    <row r="164">
      <c r="A164" s="5" t="n">
        <v>45754</v>
      </c>
      <c r="B164" t="inlineStr">
        <is>
          <t>Card Withdrawals - Debit Purchase MOTOMART COLLINSVILLEIL</t>
        </is>
      </c>
      <c r="C164" t="n">
        <v>98.65000000000001</v>
      </c>
      <c r="D164" t="inlineStr">
        <is>
          <t>Debit</t>
        </is>
      </c>
      <c r="E164" t="inlineStr">
        <is>
          <t>Tools</t>
        </is>
      </c>
      <c r="F164">
        <f>IF(E164="Income","Revenue",IF(OR(E164="Materials",E164="Labor",E164="Dump Fees"),"COGS",IF(OR(E164="Fuel",E164="Insurance",E164="Tools",E164="Repairs"),"Expense","Non-Deductible")))</f>
        <v/>
      </c>
      <c r="G164" t="inlineStr">
        <is>
          <t>Expense</t>
        </is>
      </c>
      <c r="H164">
        <f>IF(G164&lt;&gt;F164,"YES","NO")</f>
        <v/>
      </c>
      <c r="I164" t="inlineStr"/>
      <c r="J164" t="inlineStr"/>
    </row>
    <row r="165">
      <c r="A165" s="5" t="n">
        <v>45754</v>
      </c>
      <c r="B165" t="inlineStr">
        <is>
          <t>Other Withdrawals - Mobile Banking Transfer To Account 152316874980</t>
        </is>
      </c>
      <c r="C165" t="n">
        <v>114</v>
      </c>
      <c r="D165" t="inlineStr">
        <is>
          <t>Debit</t>
        </is>
      </c>
      <c r="E165" t="inlineStr">
        <is>
          <t>Transfer</t>
        </is>
      </c>
      <c r="F165">
        <f>IF(E165="Income","Revenue",IF(OR(E165="Materials",E165="Labor",E165="Dump Fees"),"COGS",IF(OR(E165="Fuel",E165="Insurance",E165="Tools",E165="Repairs"),"Expense","Non-Deductible")))</f>
        <v/>
      </c>
      <c r="G165" t="inlineStr">
        <is>
          <t>Non-Deductible</t>
        </is>
      </c>
      <c r="H165">
        <f>IF(G165&lt;&gt;F165,"YES","NO")</f>
        <v/>
      </c>
      <c r="I165" t="inlineStr"/>
      <c r="J165" t="inlineStr"/>
    </row>
    <row r="166">
      <c r="A166" s="5" t="n">
        <v>45755</v>
      </c>
      <c r="B166" t="inlineStr">
        <is>
          <t>Other Deposits - Mobile Banking Transfer From Account 152316874980</t>
        </is>
      </c>
      <c r="C166" t="n">
        <v>4300</v>
      </c>
      <c r="D166" t="inlineStr">
        <is>
          <t>Credit</t>
        </is>
      </c>
      <c r="E166" t="inlineStr">
        <is>
          <t>Transfer</t>
        </is>
      </c>
      <c r="F166">
        <f>IF(E166="Income","Revenue",IF(OR(E166="Materials",E166="Labor",E166="Dump Fees"),"COGS",IF(OR(E166="Fuel",E166="Insurance",E166="Tools",E166="Repairs"),"Expense","Non-Deductible")))</f>
        <v/>
      </c>
      <c r="G166" t="inlineStr">
        <is>
          <t>Non-Deductible</t>
        </is>
      </c>
      <c r="H166">
        <f>IF(G166&lt;&gt;F166,"YES","NO")</f>
        <v/>
      </c>
      <c r="I166" t="inlineStr"/>
      <c r="J166" t="inlineStr"/>
    </row>
    <row r="167">
      <c r="A167" s="5" t="n">
        <v>45755</v>
      </c>
      <c r="B167" t="inlineStr">
        <is>
          <t>Other Withdrawals - Mobile Banking Payment To Credit Card *************3424</t>
        </is>
      </c>
      <c r="C167" t="n">
        <v>1013.78</v>
      </c>
      <c r="D167" t="inlineStr">
        <is>
          <t>Debit</t>
        </is>
      </c>
      <c r="E167" t="inlineStr">
        <is>
          <t>Fuel</t>
        </is>
      </c>
      <c r="F167">
        <f>IF(E167="Income","Revenue",IF(OR(E167="Materials",E167="Labor",E167="Dump Fees"),"COGS",IF(OR(E167="Fuel",E167="Insurance",E167="Tools",E167="Repairs"),"Expense","Non-Deductible")))</f>
        <v/>
      </c>
      <c r="G167" t="inlineStr">
        <is>
          <t>Expense</t>
        </is>
      </c>
      <c r="H167">
        <f>IF(G167&lt;&gt;F167,"YES","NO")</f>
        <v/>
      </c>
      <c r="I167" t="inlineStr"/>
      <c r="J167" t="inlineStr"/>
    </row>
    <row r="168">
      <c r="A168" s="5" t="n">
        <v>45756</v>
      </c>
      <c r="B168" t="inlineStr">
        <is>
          <t>Card Withdrawals - Debit Purchase WAL-MART #0201 BELLEVILLE IL</t>
        </is>
      </c>
      <c r="C168" t="n">
        <v>96.01000000000001</v>
      </c>
      <c r="D168" t="inlineStr">
        <is>
          <t>Debit</t>
        </is>
      </c>
      <c r="E168" t="inlineStr">
        <is>
          <t>Tools</t>
        </is>
      </c>
      <c r="F168">
        <f>IF(E168="Income","Revenue",IF(OR(E168="Materials",E168="Labor",E168="Dump Fees"),"COGS",IF(OR(E168="Fuel",E168="Insurance",E168="Tools",E168="Repairs"),"Expense","Non-Deductible")))</f>
        <v/>
      </c>
      <c r="G168" t="inlineStr">
        <is>
          <t>Expense</t>
        </is>
      </c>
      <c r="H168">
        <f>IF(G168&lt;&gt;F168,"YES","NO")</f>
        <v/>
      </c>
      <c r="I168" t="inlineStr"/>
      <c r="J168" t="inlineStr"/>
    </row>
    <row r="169">
      <c r="A169" s="5" t="n">
        <v>45756</v>
      </c>
      <c r="B169" t="inlineStr">
        <is>
          <t>Other Withdrawals - Electronic Withdrawal To DISCOVER</t>
        </is>
      </c>
      <c r="C169" t="n">
        <v>2500</v>
      </c>
      <c r="D169" t="inlineStr">
        <is>
          <t>Debit</t>
        </is>
      </c>
      <c r="E169" t="inlineStr">
        <is>
          <t>Tools</t>
        </is>
      </c>
      <c r="F169">
        <f>IF(E169="Income","Revenue",IF(OR(E169="Materials",E169="Labor",E169="Dump Fees"),"COGS",IF(OR(E169="Fuel",E169="Insurance",E169="Tools",E169="Repairs"),"Expense","Non-Deductible")))</f>
        <v/>
      </c>
      <c r="G169" t="inlineStr">
        <is>
          <t>Expense</t>
        </is>
      </c>
      <c r="H169">
        <f>IF(G169&lt;&gt;F169,"YES","NO")</f>
        <v/>
      </c>
      <c r="I169" t="inlineStr"/>
      <c r="J169" t="inlineStr"/>
    </row>
    <row r="170">
      <c r="A170" s="5" t="n">
        <v>45756</v>
      </c>
      <c r="B170" t="inlineStr">
        <is>
          <t>Other Withdrawals - Mobile Banking Transfer To Account 152316875235</t>
        </is>
      </c>
      <c r="C170" t="n">
        <v>500</v>
      </c>
      <c r="D170" t="inlineStr">
        <is>
          <t>Debit</t>
        </is>
      </c>
      <c r="E170" t="inlineStr">
        <is>
          <t>Transfer</t>
        </is>
      </c>
      <c r="F170">
        <f>IF(E170="Income","Revenue",IF(OR(E170="Materials",E170="Labor",E170="Dump Fees"),"COGS",IF(OR(E170="Fuel",E170="Insurance",E170="Tools",E170="Repairs"),"Expense","Non-Deductible")))</f>
        <v/>
      </c>
      <c r="G170" t="inlineStr">
        <is>
          <t>Non-Deductible</t>
        </is>
      </c>
      <c r="H170">
        <f>IF(G170&lt;&gt;F170,"YES","NO")</f>
        <v/>
      </c>
      <c r="I170" t="inlineStr"/>
      <c r="J170" t="inlineStr"/>
    </row>
    <row r="171">
      <c r="A171" s="5" t="n">
        <v>45756</v>
      </c>
      <c r="B171" t="inlineStr">
        <is>
          <t>Other Withdrawals - Zelle Instant PMT To Nadia Session</t>
        </is>
      </c>
      <c r="C171" t="n">
        <v>243</v>
      </c>
      <c r="D171" t="inlineStr">
        <is>
          <t>Debit</t>
        </is>
      </c>
      <c r="E171" t="inlineStr">
        <is>
          <t>Tools</t>
        </is>
      </c>
      <c r="F171">
        <f>IF(E171="Income","Revenue",IF(OR(E171="Materials",E171="Labor",E171="Dump Fees"),"COGS",IF(OR(E171="Fuel",E171="Insurance",E171="Tools",E171="Repairs"),"Expense","Non-Deductible")))</f>
        <v/>
      </c>
      <c r="G171" t="inlineStr">
        <is>
          <t>Expense</t>
        </is>
      </c>
      <c r="H171">
        <f>IF(G171&lt;&gt;F171,"YES","NO")</f>
        <v/>
      </c>
      <c r="I171" t="inlineStr"/>
      <c r="J171" t="inlineStr"/>
    </row>
    <row r="172">
      <c r="A172" s="5" t="n">
        <v>45757</v>
      </c>
      <c r="B172" t="inlineStr">
        <is>
          <t>Card Withdrawals - ATM Withdrawal 800 N STATE ST FREEBURG IL</t>
        </is>
      </c>
      <c r="C172" t="n">
        <v>303.25</v>
      </c>
      <c r="D172" t="inlineStr">
        <is>
          <t>Debit</t>
        </is>
      </c>
      <c r="E172" t="inlineStr">
        <is>
          <t>Tools</t>
        </is>
      </c>
      <c r="F172">
        <f>IF(E172="Income","Revenue",IF(OR(E172="Materials",E172="Labor",E172="Dump Fees"),"COGS",IF(OR(E172="Fuel",E172="Insurance",E172="Tools",E172="Repairs"),"Expense","Non-Deductible")))</f>
        <v/>
      </c>
      <c r="G172" t="inlineStr">
        <is>
          <t>Expense</t>
        </is>
      </c>
      <c r="H172">
        <f>IF(G172&lt;&gt;F172,"YES","NO")</f>
        <v/>
      </c>
      <c r="I172" t="inlineStr"/>
      <c r="J172" t="inlineStr"/>
    </row>
    <row r="173">
      <c r="A173" s="5" t="n">
        <v>45757</v>
      </c>
      <c r="B173" t="inlineStr">
        <is>
          <t>Card Withdrawals - Fee ATM Withdrawal At Other Network 1000000482</t>
        </is>
      </c>
      <c r="C173" t="n">
        <v>2.5</v>
      </c>
      <c r="D173" t="inlineStr">
        <is>
          <t>Debit</t>
        </is>
      </c>
      <c r="E173" t="inlineStr">
        <is>
          <t>Tools</t>
        </is>
      </c>
      <c r="F173">
        <f>IF(E173="Income","Revenue",IF(OR(E173="Materials",E173="Labor",E173="Dump Fees"),"COGS",IF(OR(E173="Fuel",E173="Insurance",E173="Tools",E173="Repairs"),"Expense","Non-Deductible")))</f>
        <v/>
      </c>
      <c r="G173" t="inlineStr">
        <is>
          <t>Expense</t>
        </is>
      </c>
      <c r="H173">
        <f>IF(G173&lt;&gt;F173,"YES","NO")</f>
        <v/>
      </c>
      <c r="I173" t="inlineStr"/>
      <c r="J173" t="inlineStr"/>
    </row>
    <row r="174">
      <c r="A174" s="5" t="n">
        <v>45758</v>
      </c>
      <c r="B174" t="inlineStr">
        <is>
          <t>Card Withdrawals - Debit Purchase - VISA On 041025 SAINTPAUL MN 1302148475</t>
        </is>
      </c>
      <c r="C174" t="n">
        <v>1.75</v>
      </c>
      <c r="D174" t="inlineStr">
        <is>
          <t>Debit</t>
        </is>
      </c>
      <c r="E174" t="inlineStr">
        <is>
          <t>Tools</t>
        </is>
      </c>
      <c r="F174">
        <f>IF(E174="Income","Revenue",IF(OR(E174="Materials",E174="Labor",E174="Dump Fees"),"COGS",IF(OR(E174="Fuel",E174="Insurance",E174="Tools",E174="Repairs"),"Expense","Non-Deductible")))</f>
        <v/>
      </c>
      <c r="G174" t="inlineStr">
        <is>
          <t>Expense</t>
        </is>
      </c>
      <c r="H174">
        <f>IF(G174&lt;&gt;F174,"YES","NO")</f>
        <v/>
      </c>
      <c r="I174" t="inlineStr"/>
      <c r="J174" t="inlineStr"/>
    </row>
    <row r="175">
      <c r="A175" s="5" t="n">
        <v>45758</v>
      </c>
      <c r="B175" t="inlineStr">
        <is>
          <t>Other Withdrawals - Mobile Banking Transfer To Account 152316875235</t>
        </is>
      </c>
      <c r="C175" t="n">
        <v>1200</v>
      </c>
      <c r="D175" t="inlineStr">
        <is>
          <t>Debit</t>
        </is>
      </c>
      <c r="E175" t="inlineStr">
        <is>
          <t>Transfer</t>
        </is>
      </c>
      <c r="F175">
        <f>IF(E175="Income","Revenue",IF(OR(E175="Materials",E175="Labor",E175="Dump Fees"),"COGS",IF(OR(E175="Fuel",E175="Insurance",E175="Tools",E175="Repairs"),"Expense","Non-Deductible")))</f>
        <v/>
      </c>
      <c r="G175" t="inlineStr">
        <is>
          <t>Non-Deductible</t>
        </is>
      </c>
      <c r="H175">
        <f>IF(G175&lt;&gt;F175,"YES","NO")</f>
        <v/>
      </c>
      <c r="I175" t="inlineStr"/>
      <c r="J175" t="inlineStr"/>
    </row>
    <row r="176">
      <c r="A176" s="5" t="n">
        <v>45758</v>
      </c>
      <c r="B176" t="inlineStr">
        <is>
          <t>Other Withdrawals - Zelle Instant PMT To Brian Davis</t>
        </is>
      </c>
      <c r="C176" t="n">
        <v>630</v>
      </c>
      <c r="D176" t="inlineStr">
        <is>
          <t>Debit</t>
        </is>
      </c>
      <c r="E176" t="inlineStr">
        <is>
          <t>Labor</t>
        </is>
      </c>
      <c r="F176">
        <f>IF(E176="Income","Revenue",IF(OR(E176="Materials",E176="Labor",E176="Dump Fees"),"COGS",IF(OR(E176="Fuel",E176="Insurance",E176="Tools",E176="Repairs"),"Expense","Non-Deductible")))</f>
        <v/>
      </c>
      <c r="G176" t="inlineStr">
        <is>
          <t>COGS</t>
        </is>
      </c>
      <c r="H176">
        <f>IF(G176&lt;&gt;F176,"YES","NO")</f>
        <v/>
      </c>
      <c r="I176" t="inlineStr"/>
      <c r="J176" t="inlineStr">
        <is>
          <t>Bryan</t>
        </is>
      </c>
    </row>
    <row r="177">
      <c r="A177" s="5" t="n">
        <v>45758</v>
      </c>
      <c r="B177" t="inlineStr">
        <is>
          <t>Other Withdrawals - Zelle Instant PMT To Casey Williamson</t>
        </is>
      </c>
      <c r="C177" t="n">
        <v>800</v>
      </c>
      <c r="D177" t="inlineStr">
        <is>
          <t>Debit</t>
        </is>
      </c>
      <c r="E177" t="inlineStr">
        <is>
          <t>Labor</t>
        </is>
      </c>
      <c r="F177">
        <f>IF(E177="Income","Revenue",IF(OR(E177="Materials",E177="Labor",E177="Dump Fees"),"COGS",IF(OR(E177="Fuel",E177="Insurance",E177="Tools",E177="Repairs"),"Expense","Non-Deductible")))</f>
        <v/>
      </c>
      <c r="G177" t="inlineStr">
        <is>
          <t>COGS</t>
        </is>
      </c>
      <c r="H177">
        <f>IF(G177&lt;&gt;F177,"YES","NO")</f>
        <v/>
      </c>
      <c r="I177" t="inlineStr"/>
      <c r="J177" t="inlineStr">
        <is>
          <t>Casey</t>
        </is>
      </c>
    </row>
    <row r="178">
      <c r="A178" s="5" t="n">
        <v>45758</v>
      </c>
      <c r="B178" t="inlineStr">
        <is>
          <t>Other Withdrawals - Zelle Instant PMT To Tabitha Session</t>
        </is>
      </c>
      <c r="C178" t="n">
        <v>182</v>
      </c>
      <c r="D178" t="inlineStr">
        <is>
          <t>Debit</t>
        </is>
      </c>
      <c r="E178" t="inlineStr">
        <is>
          <t>Tools</t>
        </is>
      </c>
      <c r="F178">
        <f>IF(E178="Income","Revenue",IF(OR(E178="Materials",E178="Labor",E178="Dump Fees"),"COGS",IF(OR(E178="Fuel",E178="Insurance",E178="Tools",E178="Repairs"),"Expense","Non-Deductible")))</f>
        <v/>
      </c>
      <c r="G178" t="inlineStr">
        <is>
          <t>Expense</t>
        </is>
      </c>
      <c r="H178">
        <f>IF(G178&lt;&gt;F178,"YES","NO")</f>
        <v/>
      </c>
      <c r="I178" t="inlineStr"/>
      <c r="J178" t="inlineStr"/>
    </row>
    <row r="179">
      <c r="A179" s="5" t="n">
        <v>45761</v>
      </c>
      <c r="B179" t="inlineStr">
        <is>
          <t>Card Withdrawals - ATM Withdrawal 1324 N ILLINOIS SWANSEA IL</t>
        </is>
      </c>
      <c r="C179" t="n">
        <v>202</v>
      </c>
      <c r="D179" t="inlineStr">
        <is>
          <t>Debit</t>
        </is>
      </c>
      <c r="E179" t="inlineStr">
        <is>
          <t>Tools</t>
        </is>
      </c>
      <c r="F179">
        <f>IF(E179="Income","Revenue",IF(OR(E179="Materials",E179="Labor",E179="Dump Fees"),"COGS",IF(OR(E179="Fuel",E179="Insurance",E179="Tools",E179="Repairs"),"Expense","Non-Deductible")))</f>
        <v/>
      </c>
      <c r="G179" t="inlineStr">
        <is>
          <t>Expense</t>
        </is>
      </c>
      <c r="H179">
        <f>IF(G179&lt;&gt;F179,"YES","NO")</f>
        <v/>
      </c>
      <c r="I179" t="inlineStr"/>
      <c r="J179" t="inlineStr"/>
    </row>
    <row r="180">
      <c r="A180" s="5" t="n">
        <v>45761</v>
      </c>
      <c r="B180" t="inlineStr">
        <is>
          <t>Card Withdrawals - Debit Purchase - VISA On 041125 4029357733 CA 3514134235</t>
        </is>
      </c>
      <c r="C180" t="n">
        <v>641.34</v>
      </c>
      <c r="D180" t="inlineStr">
        <is>
          <t>Debit</t>
        </is>
      </c>
      <c r="E180" t="inlineStr">
        <is>
          <t>Tools</t>
        </is>
      </c>
      <c r="F180">
        <f>IF(E180="Income","Revenue",IF(OR(E180="Materials",E180="Labor",E180="Dump Fees"),"COGS",IF(OR(E180="Fuel",E180="Insurance",E180="Tools",E180="Repairs"),"Expense","Non-Deductible")))</f>
        <v/>
      </c>
      <c r="G180" t="inlineStr">
        <is>
          <t>Expense</t>
        </is>
      </c>
      <c r="H180">
        <f>IF(G180&lt;&gt;F180,"YES","NO")</f>
        <v/>
      </c>
      <c r="I180" t="inlineStr"/>
      <c r="J180" t="inlineStr"/>
    </row>
    <row r="181">
      <c r="A181" s="5" t="n">
        <v>45761</v>
      </c>
      <c r="B181" t="inlineStr">
        <is>
          <t>Card Withdrawals - Debit Purchase MOTOMART FREEBURG IL</t>
        </is>
      </c>
      <c r="C181" t="n">
        <v>99.58</v>
      </c>
      <c r="D181" t="inlineStr">
        <is>
          <t>Debit</t>
        </is>
      </c>
      <c r="E181" t="inlineStr">
        <is>
          <t>Tools</t>
        </is>
      </c>
      <c r="F181">
        <f>IF(E181="Income","Revenue",IF(OR(E181="Materials",E181="Labor",E181="Dump Fees"),"COGS",IF(OR(E181="Fuel",E181="Insurance",E181="Tools",E181="Repairs"),"Expense","Non-Deductible")))</f>
        <v/>
      </c>
      <c r="G181" t="inlineStr">
        <is>
          <t>Expense</t>
        </is>
      </c>
      <c r="H181">
        <f>IF(G181&lt;&gt;F181,"YES","NO")</f>
        <v/>
      </c>
      <c r="I181" t="inlineStr"/>
      <c r="J181" t="inlineStr"/>
    </row>
    <row r="182">
      <c r="A182" s="5" t="n">
        <v>45761</v>
      </c>
      <c r="B182" t="inlineStr">
        <is>
          <t>Card Withdrawals - Fee ATM Withdrawal At Other Network 1400000253</t>
        </is>
      </c>
      <c r="C182" t="n">
        <v>2.5</v>
      </c>
      <c r="D182" t="inlineStr">
        <is>
          <t>Debit</t>
        </is>
      </c>
      <c r="E182" t="inlineStr">
        <is>
          <t>Tools</t>
        </is>
      </c>
      <c r="F182">
        <f>IF(E182="Income","Revenue",IF(OR(E182="Materials",E182="Labor",E182="Dump Fees"),"COGS",IF(OR(E182="Fuel",E182="Insurance",E182="Tools",E182="Repairs"),"Expense","Non-Deductible")))</f>
        <v/>
      </c>
      <c r="G182" t="inlineStr">
        <is>
          <t>Expense</t>
        </is>
      </c>
      <c r="H182">
        <f>IF(G182&lt;&gt;F182,"YES","NO")</f>
        <v/>
      </c>
      <c r="I182" t="inlineStr"/>
      <c r="J182" t="inlineStr"/>
    </row>
    <row r="183">
      <c r="A183" s="5" t="n">
        <v>45761</v>
      </c>
      <c r="B183" t="inlineStr">
        <is>
          <t>Other Withdrawals - Analysis Service Charge 1400000000</t>
        </is>
      </c>
      <c r="C183" t="n">
        <v>16</v>
      </c>
      <c r="D183" t="inlineStr">
        <is>
          <t>Debit</t>
        </is>
      </c>
      <c r="E183" t="inlineStr">
        <is>
          <t>Repairs</t>
        </is>
      </c>
      <c r="F183">
        <f>IF(E183="Income","Revenue",IF(OR(E183="Materials",E183="Labor",E183="Dump Fees"),"COGS",IF(OR(E183="Fuel",E183="Insurance",E183="Tools",E183="Repairs"),"Expense","Non-Deductible")))</f>
        <v/>
      </c>
      <c r="G183" t="inlineStr">
        <is>
          <t>Expense</t>
        </is>
      </c>
      <c r="H183">
        <f>IF(G183&lt;&gt;F183,"YES","NO")</f>
        <v/>
      </c>
      <c r="I183" t="inlineStr"/>
      <c r="J183" t="inlineStr"/>
    </row>
    <row r="184">
      <c r="A184" s="5" t="n">
        <v>45762</v>
      </c>
      <c r="B184" t="inlineStr">
        <is>
          <t>Card Withdrawals - ATM Withdrawal 15 LUDWIG DR FAIRVIEW HEI IL</t>
        </is>
      </c>
      <c r="C184" t="n">
        <v>188</v>
      </c>
      <c r="D184" t="inlineStr">
        <is>
          <t>Debit</t>
        </is>
      </c>
      <c r="E184" t="inlineStr">
        <is>
          <t>Tools</t>
        </is>
      </c>
      <c r="F184">
        <f>IF(E184="Income","Revenue",IF(OR(E184="Materials",E184="Labor",E184="Dump Fees"),"COGS",IF(OR(E184="Fuel",E184="Insurance",E184="Tools",E184="Repairs"),"Expense","Non-Deductible")))</f>
        <v/>
      </c>
      <c r="G184" t="inlineStr">
        <is>
          <t>Expense</t>
        </is>
      </c>
      <c r="H184">
        <f>IF(G184&lt;&gt;F184,"YES","NO")</f>
        <v/>
      </c>
      <c r="I184" t="inlineStr"/>
      <c r="J184" t="inlineStr"/>
    </row>
    <row r="185">
      <c r="A185" s="5" t="n">
        <v>45762</v>
      </c>
      <c r="B185" t="inlineStr">
        <is>
          <t>Card Withdrawals - Fee ATM Withdrawal At Other Network 1500000088</t>
        </is>
      </c>
      <c r="C185" t="n">
        <v>2.5</v>
      </c>
      <c r="D185" t="inlineStr">
        <is>
          <t>Debit</t>
        </is>
      </c>
      <c r="E185" t="inlineStr">
        <is>
          <t>Tools</t>
        </is>
      </c>
      <c r="F185">
        <f>IF(E185="Income","Revenue",IF(OR(E185="Materials",E185="Labor",E185="Dump Fees"),"COGS",IF(OR(E185="Fuel",E185="Insurance",E185="Tools",E185="Repairs"),"Expense","Non-Deductible")))</f>
        <v/>
      </c>
      <c r="G185" t="inlineStr">
        <is>
          <t>Expense</t>
        </is>
      </c>
      <c r="H185">
        <f>IF(G185&lt;&gt;F185,"YES","NO")</f>
        <v/>
      </c>
      <c r="I185" t="inlineStr"/>
      <c r="J185" t="inlineStr"/>
    </row>
    <row r="186">
      <c r="A186" s="5" t="n">
        <v>45762</v>
      </c>
      <c r="B186" t="inlineStr">
        <is>
          <t>Other Withdrawals - Electronic Withdrawal To MERCURY CARD FBT</t>
        </is>
      </c>
      <c r="C186" t="n">
        <v>754.53</v>
      </c>
      <c r="D186" t="inlineStr">
        <is>
          <t>Debit</t>
        </is>
      </c>
      <c r="E186" t="inlineStr">
        <is>
          <t>Tools</t>
        </is>
      </c>
      <c r="F186">
        <f>IF(E186="Income","Revenue",IF(OR(E186="Materials",E186="Labor",E186="Dump Fees"),"COGS",IF(OR(E186="Fuel",E186="Insurance",E186="Tools",E186="Repairs"),"Expense","Non-Deductible")))</f>
        <v/>
      </c>
      <c r="G186" t="inlineStr">
        <is>
          <t>Expense</t>
        </is>
      </c>
      <c r="H186">
        <f>IF(G186&lt;&gt;F186,"YES","NO")</f>
        <v/>
      </c>
      <c r="I186" t="inlineStr"/>
      <c r="J186" t="inlineStr"/>
    </row>
    <row r="187">
      <c r="A187" s="5" t="n">
        <v>45762</v>
      </c>
      <c r="B187" t="inlineStr">
        <is>
          <t>Other Withdrawals - Electronic Withdrawal To MISSION LANE</t>
        </is>
      </c>
      <c r="C187" t="n">
        <v>500</v>
      </c>
      <c r="D187" t="inlineStr">
        <is>
          <t>Debit</t>
        </is>
      </c>
      <c r="E187" t="inlineStr">
        <is>
          <t>Tools</t>
        </is>
      </c>
      <c r="F187">
        <f>IF(E187="Income","Revenue",IF(OR(E187="Materials",E187="Labor",E187="Dump Fees"),"COGS",IF(OR(E187="Fuel",E187="Insurance",E187="Tools",E187="Repairs"),"Expense","Non-Deductible")))</f>
        <v/>
      </c>
      <c r="G187" t="inlineStr">
        <is>
          <t>Expense</t>
        </is>
      </c>
      <c r="H187">
        <f>IF(G187&lt;&gt;F187,"YES","NO")</f>
        <v/>
      </c>
      <c r="I187" t="inlineStr"/>
      <c r="J187" t="inlineStr"/>
    </row>
    <row r="188">
      <c r="A188" s="5" t="n">
        <v>45763</v>
      </c>
      <c r="B188" t="inlineStr">
        <is>
          <t>Card Withdrawals - Debit Purchase SAMSCLUB #4878 GLEN CARBON IL</t>
        </is>
      </c>
      <c r="C188" t="n">
        <v>71.39</v>
      </c>
      <c r="D188" t="inlineStr">
        <is>
          <t>Debit</t>
        </is>
      </c>
      <c r="E188" t="inlineStr">
        <is>
          <t>Tools</t>
        </is>
      </c>
      <c r="F188">
        <f>IF(E188="Income","Revenue",IF(OR(E188="Materials",E188="Labor",E188="Dump Fees"),"COGS",IF(OR(E188="Fuel",E188="Insurance",E188="Tools",E188="Repairs"),"Expense","Non-Deductible")))</f>
        <v/>
      </c>
      <c r="G188" t="inlineStr">
        <is>
          <t>Expense</t>
        </is>
      </c>
      <c r="H188">
        <f>IF(G188&lt;&gt;F188,"YES","NO")</f>
        <v/>
      </c>
      <c r="I188" t="inlineStr"/>
      <c r="J188" t="inlineStr"/>
    </row>
    <row r="189">
      <c r="A189" s="5" t="n">
        <v>45763</v>
      </c>
      <c r="B189" t="inlineStr">
        <is>
          <t>Other Deposits - Mobile Check Deposit 8614035980</t>
        </is>
      </c>
      <c r="C189" t="n">
        <v>5000</v>
      </c>
      <c r="D189" t="inlineStr">
        <is>
          <t>Credit</t>
        </is>
      </c>
      <c r="E189" t="inlineStr">
        <is>
          <t>Income</t>
        </is>
      </c>
      <c r="F189">
        <f>IF(E189="Income","Revenue",IF(OR(E189="Materials",E189="Labor",E189="Dump Fees"),"COGS",IF(OR(E189="Fuel",E189="Insurance",E189="Tools",E189="Repairs"),"Expense","Non-Deductible")))</f>
        <v/>
      </c>
      <c r="G189" t="inlineStr">
        <is>
          <t>Revenue</t>
        </is>
      </c>
      <c r="H189">
        <f>IF(G189&lt;&gt;F189,"YES","NO")</f>
        <v/>
      </c>
      <c r="I189" t="inlineStr"/>
      <c r="J189" t="inlineStr"/>
    </row>
    <row r="190">
      <c r="A190" s="5" t="n">
        <v>45763</v>
      </c>
      <c r="B190" t="inlineStr">
        <is>
          <t>Other Withdrawals - Electronic Withdrawal To CATHOLIC CCU</t>
        </is>
      </c>
      <c r="C190" t="n">
        <v>572.5</v>
      </c>
      <c r="D190" t="inlineStr">
        <is>
          <t>Debit</t>
        </is>
      </c>
      <c r="E190" t="inlineStr">
        <is>
          <t>Tools</t>
        </is>
      </c>
      <c r="F190">
        <f>IF(E190="Income","Revenue",IF(OR(E190="Materials",E190="Labor",E190="Dump Fees"),"COGS",IF(OR(E190="Fuel",E190="Insurance",E190="Tools",E190="Repairs"),"Expense","Non-Deductible")))</f>
        <v/>
      </c>
      <c r="G190" t="inlineStr">
        <is>
          <t>Expense</t>
        </is>
      </c>
      <c r="H190">
        <f>IF(G190&lt;&gt;F190,"YES","NO")</f>
        <v/>
      </c>
      <c r="I190" t="inlineStr"/>
      <c r="J190" t="inlineStr"/>
    </row>
    <row r="191">
      <c r="A191" s="5" t="n">
        <v>45763</v>
      </c>
      <c r="B191" t="inlineStr">
        <is>
          <t>Other Withdrawals - Electronic Withdrawal To MIDLAND MTG</t>
        </is>
      </c>
      <c r="C191" t="n">
        <v>1164.56</v>
      </c>
      <c r="D191" t="inlineStr">
        <is>
          <t>Debit</t>
        </is>
      </c>
      <c r="E191" t="inlineStr">
        <is>
          <t>Tools</t>
        </is>
      </c>
      <c r="F191">
        <f>IF(E191="Income","Revenue",IF(OR(E191="Materials",E191="Labor",E191="Dump Fees"),"COGS",IF(OR(E191="Fuel",E191="Insurance",E191="Tools",E191="Repairs"),"Expense","Non-Deductible")))</f>
        <v/>
      </c>
      <c r="G191" t="inlineStr">
        <is>
          <t>Expense</t>
        </is>
      </c>
      <c r="H191">
        <f>IF(G191&lt;&gt;F191,"YES","NO")</f>
        <v/>
      </c>
      <c r="I191" t="inlineStr"/>
      <c r="J191" t="inlineStr"/>
    </row>
    <row r="192">
      <c r="A192" s="5" t="n">
        <v>45764</v>
      </c>
      <c r="B192" t="inlineStr">
        <is>
          <t>Card Withdrawals - Debit Purchase - VISA On 041525 FAIRVIEW HTS IL 6188255182</t>
        </is>
      </c>
      <c r="C192" t="n">
        <v>121.68</v>
      </c>
      <c r="D192" t="inlineStr">
        <is>
          <t>Debit</t>
        </is>
      </c>
      <c r="E192" t="inlineStr">
        <is>
          <t>Tools</t>
        </is>
      </c>
      <c r="F192">
        <f>IF(E192="Income","Revenue",IF(OR(E192="Materials",E192="Labor",E192="Dump Fees"),"COGS",IF(OR(E192="Fuel",E192="Insurance",E192="Tools",E192="Repairs"),"Expense","Non-Deductible")))</f>
        <v/>
      </c>
      <c r="G192" t="inlineStr">
        <is>
          <t>Expense</t>
        </is>
      </c>
      <c r="H192">
        <f>IF(G192&lt;&gt;F192,"YES","NO")</f>
        <v/>
      </c>
      <c r="I192" t="inlineStr"/>
      <c r="J192" t="inlineStr"/>
    </row>
    <row r="193">
      <c r="A193" s="5" t="n">
        <v>45765</v>
      </c>
      <c r="B193" t="inlineStr">
        <is>
          <t>Card Withdrawals - Debit Purchase CIRCLE K # 01345 CASEYVILLE IL</t>
        </is>
      </c>
      <c r="C193" t="n">
        <v>18.23</v>
      </c>
      <c r="D193" t="inlineStr">
        <is>
          <t>Debit</t>
        </is>
      </c>
      <c r="E193" t="inlineStr">
        <is>
          <t>Labor</t>
        </is>
      </c>
      <c r="F193">
        <f>IF(E193="Income","Revenue",IF(OR(E193="Materials",E193="Labor",E193="Dump Fees"),"COGS",IF(OR(E193="Fuel",E193="Insurance",E193="Tools",E193="Repairs"),"Expense","Non-Deductible")))</f>
        <v/>
      </c>
      <c r="G193" t="inlineStr">
        <is>
          <t>COGS</t>
        </is>
      </c>
      <c r="H193">
        <f>IF(G193&lt;&gt;F193,"YES","NO")</f>
        <v/>
      </c>
      <c r="I193" t="inlineStr"/>
      <c r="J193" t="inlineStr">
        <is>
          <t>Casey</t>
        </is>
      </c>
    </row>
    <row r="194">
      <c r="A194" s="5" t="n">
        <v>45765</v>
      </c>
      <c r="B194" t="inlineStr">
        <is>
          <t>Other Deposits - Branch Account Transfer From Account 152316875235</t>
        </is>
      </c>
      <c r="C194" t="n">
        <v>1500</v>
      </c>
      <c r="D194" t="inlineStr">
        <is>
          <t>Credit</t>
        </is>
      </c>
      <c r="E194" t="inlineStr">
        <is>
          <t>Transfer</t>
        </is>
      </c>
      <c r="F194">
        <f>IF(E194="Income","Revenue",IF(OR(E194="Materials",E194="Labor",E194="Dump Fees"),"COGS",IF(OR(E194="Fuel",E194="Insurance",E194="Tools",E194="Repairs"),"Expense","Non-Deductible")))</f>
        <v/>
      </c>
      <c r="G194" t="inlineStr">
        <is>
          <t>Non-Deductible</t>
        </is>
      </c>
      <c r="H194">
        <f>IF(G194&lt;&gt;F194,"YES","NO")</f>
        <v/>
      </c>
      <c r="I194" t="inlineStr"/>
      <c r="J194" t="inlineStr"/>
    </row>
    <row r="195">
      <c r="A195" s="5" t="n">
        <v>45765</v>
      </c>
      <c r="B195" t="inlineStr">
        <is>
          <t>Other Withdrawals - Customer Withdrawal 9213096586</t>
        </is>
      </c>
      <c r="C195" t="n">
        <v>6000</v>
      </c>
      <c r="D195" t="inlineStr">
        <is>
          <t>Debit</t>
        </is>
      </c>
      <c r="E195" t="inlineStr">
        <is>
          <t>Tools</t>
        </is>
      </c>
      <c r="F195">
        <f>IF(E195="Income","Revenue",IF(OR(E195="Materials",E195="Labor",E195="Dump Fees"),"COGS",IF(OR(E195="Fuel",E195="Insurance",E195="Tools",E195="Repairs"),"Expense","Non-Deductible")))</f>
        <v/>
      </c>
      <c r="G195" t="inlineStr">
        <is>
          <t>Expense</t>
        </is>
      </c>
      <c r="H195">
        <f>IF(G195&lt;&gt;F195,"YES","NO")</f>
        <v/>
      </c>
      <c r="I195" t="inlineStr"/>
      <c r="J195" t="inlineStr"/>
    </row>
    <row r="196">
      <c r="A196" s="5" t="n">
        <v>45765</v>
      </c>
      <c r="B196" t="inlineStr">
        <is>
          <t>Other Withdrawals - Mobile Banking Transfer To Account 152316875235</t>
        </is>
      </c>
      <c r="C196" t="n">
        <v>2000</v>
      </c>
      <c r="D196" t="inlineStr">
        <is>
          <t>Debit</t>
        </is>
      </c>
      <c r="E196" t="inlineStr">
        <is>
          <t>Transfer</t>
        </is>
      </c>
      <c r="F196">
        <f>IF(E196="Income","Revenue",IF(OR(E196="Materials",E196="Labor",E196="Dump Fees"),"COGS",IF(OR(E196="Fuel",E196="Insurance",E196="Tools",E196="Repairs"),"Expense","Non-Deductible")))</f>
        <v/>
      </c>
      <c r="G196" t="inlineStr">
        <is>
          <t>Non-Deductible</t>
        </is>
      </c>
      <c r="H196">
        <f>IF(G196&lt;&gt;F196,"YES","NO")</f>
        <v/>
      </c>
      <c r="I196" t="inlineStr"/>
      <c r="J196" t="inlineStr"/>
    </row>
    <row r="197">
      <c r="A197" s="5" t="n">
        <v>45765</v>
      </c>
      <c r="B197" t="inlineStr">
        <is>
          <t>Other Withdrawals - Zelle Instant PMT To Brian Davis</t>
        </is>
      </c>
      <c r="C197" t="n">
        <v>720</v>
      </c>
      <c r="D197" t="inlineStr">
        <is>
          <t>Debit</t>
        </is>
      </c>
      <c r="E197" t="inlineStr">
        <is>
          <t>Labor</t>
        </is>
      </c>
      <c r="F197">
        <f>IF(E197="Income","Revenue",IF(OR(E197="Materials",E197="Labor",E197="Dump Fees"),"COGS",IF(OR(E197="Fuel",E197="Insurance",E197="Tools",E197="Repairs"),"Expense","Non-Deductible")))</f>
        <v/>
      </c>
      <c r="G197" t="inlineStr">
        <is>
          <t>COGS</t>
        </is>
      </c>
      <c r="H197">
        <f>IF(G197&lt;&gt;F197,"YES","NO")</f>
        <v/>
      </c>
      <c r="I197" t="inlineStr"/>
      <c r="J197" t="inlineStr">
        <is>
          <t>Bryan</t>
        </is>
      </c>
    </row>
    <row r="198">
      <c r="A198" s="5" t="n">
        <v>45765</v>
      </c>
      <c r="B198" t="inlineStr">
        <is>
          <t>Other Withdrawals - Zelle Instant PMT To Casey Williamson</t>
        </is>
      </c>
      <c r="C198" t="n">
        <v>800</v>
      </c>
      <c r="D198" t="inlineStr">
        <is>
          <t>Debit</t>
        </is>
      </c>
      <c r="E198" t="inlineStr">
        <is>
          <t>Labor</t>
        </is>
      </c>
      <c r="F198">
        <f>IF(E198="Income","Revenue",IF(OR(E198="Materials",E198="Labor",E198="Dump Fees"),"COGS",IF(OR(E198="Fuel",E198="Insurance",E198="Tools",E198="Repairs"),"Expense","Non-Deductible")))</f>
        <v/>
      </c>
      <c r="G198" t="inlineStr">
        <is>
          <t>COGS</t>
        </is>
      </c>
      <c r="H198">
        <f>IF(G198&lt;&gt;F198,"YES","NO")</f>
        <v/>
      </c>
      <c r="I198" t="inlineStr"/>
      <c r="J198" t="inlineStr">
        <is>
          <t>Casey</t>
        </is>
      </c>
    </row>
    <row r="199">
      <c r="A199" s="5" t="n">
        <v>45768</v>
      </c>
      <c r="B199" t="inlineStr">
        <is>
          <t>Card Withdrawals - Debit Purchase - VISA On 041825 4029357733 CA 0515349189</t>
        </is>
      </c>
      <c r="C199" t="n">
        <v>407.2</v>
      </c>
      <c r="D199" t="inlineStr">
        <is>
          <t>Debit</t>
        </is>
      </c>
      <c r="E199" t="inlineStr">
        <is>
          <t>Tools</t>
        </is>
      </c>
      <c r="F199">
        <f>IF(E199="Income","Revenue",IF(OR(E199="Materials",E199="Labor",E199="Dump Fees"),"COGS",IF(OR(E199="Fuel",E199="Insurance",E199="Tools",E199="Repairs"),"Expense","Non-Deductible")))</f>
        <v/>
      </c>
      <c r="G199" t="inlineStr">
        <is>
          <t>Expense</t>
        </is>
      </c>
      <c r="H199">
        <f>IF(G199&lt;&gt;F199,"YES","NO")</f>
        <v/>
      </c>
      <c r="I199" t="inlineStr"/>
      <c r="J199" t="inlineStr"/>
    </row>
    <row r="200">
      <c r="A200" s="5" t="n">
        <v>45768</v>
      </c>
      <c r="B200" t="inlineStr">
        <is>
          <t>Card Withdrawals - Debit Purchase - VISA On 041825 FAIRVIEW HEI IL 0570012093</t>
        </is>
      </c>
      <c r="C200" t="n">
        <v>87.26000000000001</v>
      </c>
      <c r="D200" t="inlineStr">
        <is>
          <t>Debit</t>
        </is>
      </c>
      <c r="E200" t="inlineStr">
        <is>
          <t>Tools</t>
        </is>
      </c>
      <c r="F200">
        <f>IF(E200="Income","Revenue",IF(OR(E200="Materials",E200="Labor",E200="Dump Fees"),"COGS",IF(OR(E200="Fuel",E200="Insurance",E200="Tools",E200="Repairs"),"Expense","Non-Deductible")))</f>
        <v/>
      </c>
      <c r="G200" t="inlineStr">
        <is>
          <t>Expense</t>
        </is>
      </c>
      <c r="H200">
        <f>IF(G200&lt;&gt;F200,"YES","NO")</f>
        <v/>
      </c>
      <c r="I200" t="inlineStr"/>
      <c r="J200" t="inlineStr"/>
    </row>
    <row r="201">
      <c r="A201" s="5" t="n">
        <v>45768</v>
      </c>
      <c r="B201" t="inlineStr">
        <is>
          <t>Card Withdrawals - Debit Purchase - VISA On 041925 888-5741301 SD 0000021943</t>
        </is>
      </c>
      <c r="C201" t="n">
        <v>114</v>
      </c>
      <c r="D201" t="inlineStr">
        <is>
          <t>Debit</t>
        </is>
      </c>
      <c r="E201" t="inlineStr">
        <is>
          <t>Tools</t>
        </is>
      </c>
      <c r="F201">
        <f>IF(E201="Income","Revenue",IF(OR(E201="Materials",E201="Labor",E201="Dump Fees"),"COGS",IF(OR(E201="Fuel",E201="Insurance",E201="Tools",E201="Repairs"),"Expense","Non-Deductible")))</f>
        <v/>
      </c>
      <c r="G201" t="inlineStr">
        <is>
          <t>Expense</t>
        </is>
      </c>
      <c r="H201">
        <f>IF(G201&lt;&gt;F201,"YES","NO")</f>
        <v/>
      </c>
      <c r="I201" t="inlineStr"/>
      <c r="J201" t="inlineStr"/>
    </row>
    <row r="202">
      <c r="A202" s="5" t="n">
        <v>45768</v>
      </c>
      <c r="B202" t="inlineStr">
        <is>
          <t>Card Withdrawals - Debit Purchase - VISA On 041925 CARTERVILLE IL 0101810139</t>
        </is>
      </c>
      <c r="C202" t="n">
        <v>94.89</v>
      </c>
      <c r="D202" t="inlineStr">
        <is>
          <t>Debit</t>
        </is>
      </c>
      <c r="E202" t="inlineStr">
        <is>
          <t>Tools</t>
        </is>
      </c>
      <c r="F202">
        <f>IF(E202="Income","Revenue",IF(OR(E202="Materials",E202="Labor",E202="Dump Fees"),"COGS",IF(OR(E202="Fuel",E202="Insurance",E202="Tools",E202="Repairs"),"Expense","Non-Deductible")))</f>
        <v/>
      </c>
      <c r="G202" t="inlineStr">
        <is>
          <t>Expense</t>
        </is>
      </c>
      <c r="H202">
        <f>IF(G202&lt;&gt;F202,"YES","NO")</f>
        <v/>
      </c>
      <c r="I202" t="inlineStr"/>
      <c r="J202" t="inlineStr"/>
    </row>
    <row r="203">
      <c r="A203" s="5" t="n">
        <v>45768</v>
      </c>
      <c r="B203" t="inlineStr">
        <is>
          <t>Card Withdrawals - Debit Purchase - VISA On 041925 FREEBURG IL 9720249452</t>
        </is>
      </c>
      <c r="C203" t="n">
        <v>11.07</v>
      </c>
      <c r="D203" t="inlineStr">
        <is>
          <t>Debit</t>
        </is>
      </c>
      <c r="E203" t="inlineStr">
        <is>
          <t>Tools</t>
        </is>
      </c>
      <c r="F203">
        <f>IF(E203="Income","Revenue",IF(OR(E203="Materials",E203="Labor",E203="Dump Fees"),"COGS",IF(OR(E203="Fuel",E203="Insurance",E203="Tools",E203="Repairs"),"Expense","Non-Deductible")))</f>
        <v/>
      </c>
      <c r="G203" t="inlineStr">
        <is>
          <t>Expense</t>
        </is>
      </c>
      <c r="H203">
        <f>IF(G203&lt;&gt;F203,"YES","NO")</f>
        <v/>
      </c>
      <c r="I203" t="inlineStr"/>
      <c r="J203" t="inlineStr"/>
    </row>
    <row r="204">
      <c r="A204" s="5" t="n">
        <v>45769</v>
      </c>
      <c r="B204" t="inlineStr">
        <is>
          <t>Other Withdrawals - Customer Withdrawal 8313721537</t>
        </is>
      </c>
      <c r="C204" t="n">
        <v>400</v>
      </c>
      <c r="D204" t="inlineStr">
        <is>
          <t>Debit</t>
        </is>
      </c>
      <c r="E204" t="inlineStr">
        <is>
          <t>Tools</t>
        </is>
      </c>
      <c r="F204">
        <f>IF(E204="Income","Revenue",IF(OR(E204="Materials",E204="Labor",E204="Dump Fees"),"COGS",IF(OR(E204="Fuel",E204="Insurance",E204="Tools",E204="Repairs"),"Expense","Non-Deductible")))</f>
        <v/>
      </c>
      <c r="G204" t="inlineStr">
        <is>
          <t>Expense</t>
        </is>
      </c>
      <c r="H204">
        <f>IF(G204&lt;&gt;F204,"YES","NO")</f>
        <v/>
      </c>
      <c r="I204" t="inlineStr"/>
      <c r="J204" t="inlineStr"/>
    </row>
    <row r="205">
      <c r="A205" s="5" t="n">
        <v>45771</v>
      </c>
      <c r="B205" t="inlineStr">
        <is>
          <t>Card Withdrawals - Debit Purchase - VISA On 042225 BELLEVILLE IL 3004883792</t>
        </is>
      </c>
      <c r="C205" t="n">
        <v>62.27</v>
      </c>
      <c r="D205" t="inlineStr">
        <is>
          <t>Debit</t>
        </is>
      </c>
      <c r="E205" t="inlineStr">
        <is>
          <t>Tools</t>
        </is>
      </c>
      <c r="F205">
        <f>IF(E205="Income","Revenue",IF(OR(E205="Materials",E205="Labor",E205="Dump Fees"),"COGS",IF(OR(E205="Fuel",E205="Insurance",E205="Tools",E205="Repairs"),"Expense","Non-Deductible")))</f>
        <v/>
      </c>
      <c r="G205" t="inlineStr">
        <is>
          <t>Expense</t>
        </is>
      </c>
      <c r="H205">
        <f>IF(G205&lt;&gt;F205,"YES","NO")</f>
        <v/>
      </c>
      <c r="I205" t="inlineStr"/>
      <c r="J205" t="inlineStr"/>
    </row>
    <row r="206">
      <c r="A206" s="5" t="n">
        <v>45771</v>
      </c>
      <c r="B206" t="inlineStr">
        <is>
          <t>Card Withdrawals - Debit Purchase - VISA On 042325 618-2869595 IL 3104705157</t>
        </is>
      </c>
      <c r="C206" t="n">
        <v>440</v>
      </c>
      <c r="D206" t="inlineStr">
        <is>
          <t>Debit</t>
        </is>
      </c>
      <c r="E206" t="inlineStr">
        <is>
          <t>Tools</t>
        </is>
      </c>
      <c r="F206">
        <f>IF(E206="Income","Revenue",IF(OR(E206="Materials",E206="Labor",E206="Dump Fees"),"COGS",IF(OR(E206="Fuel",E206="Insurance",E206="Tools",E206="Repairs"),"Expense","Non-Deductible")))</f>
        <v/>
      </c>
      <c r="G206" t="inlineStr">
        <is>
          <t>Expense</t>
        </is>
      </c>
      <c r="H206">
        <f>IF(G206&lt;&gt;F206,"YES","NO")</f>
        <v/>
      </c>
      <c r="I206" t="inlineStr"/>
      <c r="J206" t="inlineStr"/>
    </row>
    <row r="207">
      <c r="A207" s="5" t="n">
        <v>45772</v>
      </c>
      <c r="B207" t="inlineStr">
        <is>
          <t>Other Withdrawals - Zelle Instant PMT To Brian Davis</t>
        </is>
      </c>
      <c r="C207" t="n">
        <v>860</v>
      </c>
      <c r="D207" t="inlineStr">
        <is>
          <t>Debit</t>
        </is>
      </c>
      <c r="E207" t="inlineStr">
        <is>
          <t>Labor</t>
        </is>
      </c>
      <c r="F207">
        <f>IF(E207="Income","Revenue",IF(OR(E207="Materials",E207="Labor",E207="Dump Fees"),"COGS",IF(OR(E207="Fuel",E207="Insurance",E207="Tools",E207="Repairs"),"Expense","Non-Deductible")))</f>
        <v/>
      </c>
      <c r="G207" t="inlineStr">
        <is>
          <t>COGS</t>
        </is>
      </c>
      <c r="H207">
        <f>IF(G207&lt;&gt;F207,"YES","NO")</f>
        <v/>
      </c>
      <c r="I207" t="inlineStr"/>
      <c r="J207" t="inlineStr">
        <is>
          <t>Bryan</t>
        </is>
      </c>
    </row>
    <row r="208">
      <c r="A208" s="5" t="n">
        <v>45772</v>
      </c>
      <c r="B208" t="inlineStr">
        <is>
          <t>Other Withdrawals - Zelle Instant PMT To Casey Williamson</t>
        </is>
      </c>
      <c r="C208" t="n">
        <v>800</v>
      </c>
      <c r="D208" t="inlineStr">
        <is>
          <t>Debit</t>
        </is>
      </c>
      <c r="E208" t="inlineStr">
        <is>
          <t>Labor</t>
        </is>
      </c>
      <c r="F208">
        <f>IF(E208="Income","Revenue",IF(OR(E208="Materials",E208="Labor",E208="Dump Fees"),"COGS",IF(OR(E208="Fuel",E208="Insurance",E208="Tools",E208="Repairs"),"Expense","Non-Deductible")))</f>
        <v/>
      </c>
      <c r="G208" t="inlineStr">
        <is>
          <t>COGS</t>
        </is>
      </c>
      <c r="H208">
        <f>IF(G208&lt;&gt;F208,"YES","NO")</f>
        <v/>
      </c>
      <c r="I208" t="inlineStr"/>
      <c r="J208" t="inlineStr">
        <is>
          <t>Casey</t>
        </is>
      </c>
    </row>
    <row r="209">
      <c r="A209" s="5" t="n">
        <v>45775</v>
      </c>
      <c r="B209" t="inlineStr">
        <is>
          <t>Card Withdrawals - Debit Purchase - VISA On 042525 4029357733 CA 5516532499</t>
        </is>
      </c>
      <c r="C209" t="n">
        <v>407.2</v>
      </c>
      <c r="D209" t="inlineStr">
        <is>
          <t>Debit</t>
        </is>
      </c>
      <c r="E209" t="inlineStr">
        <is>
          <t>Tools</t>
        </is>
      </c>
      <c r="F209">
        <f>IF(E209="Income","Revenue",IF(OR(E209="Materials",E209="Labor",E209="Dump Fees"),"COGS",IF(OR(E209="Fuel",E209="Insurance",E209="Tools",E209="Repairs"),"Expense","Non-Deductible")))</f>
        <v/>
      </c>
      <c r="G209" t="inlineStr">
        <is>
          <t>Expense</t>
        </is>
      </c>
      <c r="H209">
        <f>IF(G209&lt;&gt;F209,"YES","NO")</f>
        <v/>
      </c>
      <c r="I209" t="inlineStr"/>
      <c r="J209" t="inlineStr"/>
    </row>
    <row r="210">
      <c r="A210" s="5" t="n">
        <v>45775</v>
      </c>
      <c r="B210" t="inlineStr">
        <is>
          <t>Card Withdrawals - Recurring Debit Purchase On 042525 888-270-2644 IN 6106643694</t>
        </is>
      </c>
      <c r="C210" t="n">
        <v>817.5</v>
      </c>
      <c r="D210" t="inlineStr">
        <is>
          <t>Debit</t>
        </is>
      </c>
      <c r="E210" t="inlineStr">
        <is>
          <t>Tools</t>
        </is>
      </c>
      <c r="F210">
        <f>IF(E210="Income","Revenue",IF(OR(E210="Materials",E210="Labor",E210="Dump Fees"),"COGS",IF(OR(E210="Fuel",E210="Insurance",E210="Tools",E210="Repairs"),"Expense","Non-Deductible")))</f>
        <v/>
      </c>
      <c r="G210" t="inlineStr">
        <is>
          <t>Expense</t>
        </is>
      </c>
      <c r="H210">
        <f>IF(G210&lt;&gt;F210,"YES","NO")</f>
        <v/>
      </c>
      <c r="I210" t="inlineStr"/>
      <c r="J210" t="inlineStr"/>
    </row>
    <row r="211">
      <c r="A211" s="5" t="n">
        <v>45777</v>
      </c>
      <c r="B211" t="inlineStr">
        <is>
          <t>Card Withdrawals - Recurring Debit Purchase On 042925 800-956-6310 IL 9196753845</t>
        </is>
      </c>
      <c r="C211" t="n">
        <v>328.77</v>
      </c>
      <c r="D211" t="inlineStr">
        <is>
          <t>Debit</t>
        </is>
      </c>
      <c r="E211" t="inlineStr">
        <is>
          <t>Tools</t>
        </is>
      </c>
      <c r="F211">
        <f>IF(E211="Income","Revenue",IF(OR(E211="Materials",E211="Labor",E211="Dump Fees"),"COGS",IF(OR(E211="Fuel",E211="Insurance",E211="Tools",E211="Repairs"),"Expense","Non-Deductible")))</f>
        <v/>
      </c>
      <c r="G211" t="inlineStr">
        <is>
          <t>Expense</t>
        </is>
      </c>
      <c r="H211">
        <f>IF(G211&lt;&gt;F211,"YES","NO")</f>
        <v/>
      </c>
      <c r="I211" t="inlineStr"/>
      <c r="J211" t="inlineStr"/>
    </row>
    <row r="212">
      <c r="A212" s="5" t="n">
        <v>45778</v>
      </c>
      <c r="B212" t="inlineStr">
        <is>
          <t>Other Deposits - Mobile Check Deposit 8913054761 $</t>
        </is>
      </c>
      <c r="C212" t="n">
        <v>3440</v>
      </c>
      <c r="D212" t="inlineStr">
        <is>
          <t>Credit</t>
        </is>
      </c>
      <c r="E212" t="inlineStr">
        <is>
          <t>Income</t>
        </is>
      </c>
      <c r="F212">
        <f>IF(E212="Income","Revenue",IF(OR(E212="Materials",E212="Labor",E212="Dump Fees"),"COGS",IF(OR(E212="Fuel",E212="Insurance",E212="Tools",E212="Repairs"),"Expense","Non-Deductible")))</f>
        <v/>
      </c>
      <c r="G212" t="inlineStr">
        <is>
          <t>Revenue</t>
        </is>
      </c>
      <c r="H212">
        <f>IF(G212&lt;&gt;F212,"YES","NO")</f>
        <v/>
      </c>
      <c r="I212" t="inlineStr"/>
      <c r="J212" t="inlineStr"/>
    </row>
    <row r="213">
      <c r="A213" s="5" t="n">
        <v>45778</v>
      </c>
      <c r="B213" t="inlineStr">
        <is>
          <t>Other Withdrawals - 13,733.00 May12 11,716.79 May21</t>
        </is>
      </c>
      <c r="C213" t="n">
        <v>14439.45</v>
      </c>
      <c r="D213" t="inlineStr">
        <is>
          <t>Credit</t>
        </is>
      </c>
      <c r="E213" t="inlineStr">
        <is>
          <t>Income</t>
        </is>
      </c>
      <c r="F213">
        <f>IF(E213="Income","Revenue",IF(OR(E213="Materials",E213="Labor",E213="Dump Fees"),"COGS",IF(OR(E213="Fuel",E213="Insurance",E213="Tools",E213="Repairs"),"Expense","Non-Deductible")))</f>
        <v/>
      </c>
      <c r="G213" t="inlineStr">
        <is>
          <t>Revenue</t>
        </is>
      </c>
      <c r="H213">
        <f>IF(G213&lt;&gt;F213,"YES","NO")</f>
        <v/>
      </c>
      <c r="I213" t="inlineStr"/>
      <c r="J213" t="inlineStr"/>
    </row>
    <row r="214">
      <c r="A214" s="5" t="n">
        <v>45779</v>
      </c>
      <c r="B214" t="inlineStr">
        <is>
          <t>Other Withdrawals - 12,133.00 May13 12,366.79 May23</t>
        </is>
      </c>
      <c r="C214" t="n">
        <v>15428.29</v>
      </c>
      <c r="D214" t="inlineStr">
        <is>
          <t>Credit</t>
        </is>
      </c>
      <c r="E214" t="inlineStr">
        <is>
          <t>Income</t>
        </is>
      </c>
      <c r="F214">
        <f>IF(E214="Income","Revenue",IF(OR(E214="Materials",E214="Labor",E214="Dump Fees"),"COGS",IF(OR(E214="Fuel",E214="Insurance",E214="Tools",E214="Repairs"),"Expense","Non-Deductible")))</f>
        <v/>
      </c>
      <c r="G214" t="inlineStr">
        <is>
          <t>Revenue</t>
        </is>
      </c>
      <c r="H214">
        <f>IF(G214&lt;&gt;F214,"YES","NO")</f>
        <v/>
      </c>
      <c r="I214" t="inlineStr"/>
      <c r="J214" t="inlineStr"/>
    </row>
    <row r="215">
      <c r="A215" s="5" t="n">
        <v>45779</v>
      </c>
      <c r="B215" t="inlineStr">
        <is>
          <t>Other Withdrawals - Mobile Banking Transfer To Account 152316874980 $</t>
        </is>
      </c>
      <c r="C215" t="n">
        <v>250</v>
      </c>
      <c r="D215" t="inlineStr">
        <is>
          <t>Debit</t>
        </is>
      </c>
      <c r="E215" t="inlineStr">
        <is>
          <t>Transfer</t>
        </is>
      </c>
      <c r="F215">
        <f>IF(E215="Income","Revenue",IF(OR(E215="Materials",E215="Labor",E215="Dump Fees"),"COGS",IF(OR(E215="Fuel",E215="Insurance",E215="Tools",E215="Repairs"),"Expense","Non-Deductible")))</f>
        <v/>
      </c>
      <c r="G215" t="inlineStr">
        <is>
          <t>Non-Deductible</t>
        </is>
      </c>
      <c r="H215">
        <f>IF(G215&lt;&gt;F215,"YES","NO")</f>
        <v/>
      </c>
      <c r="I215" t="inlineStr"/>
      <c r="J215" t="inlineStr"/>
    </row>
    <row r="216">
      <c r="A216" s="5" t="n">
        <v>45779</v>
      </c>
      <c r="B216" t="inlineStr">
        <is>
          <t>Other Withdrawals - Zelle Instant PMT To Brian Davis</t>
        </is>
      </c>
      <c r="C216" t="n">
        <v>850</v>
      </c>
      <c r="D216" t="inlineStr">
        <is>
          <t>Debit</t>
        </is>
      </c>
      <c r="E216" t="inlineStr">
        <is>
          <t>Labor</t>
        </is>
      </c>
      <c r="F216">
        <f>IF(E216="Income","Revenue",IF(OR(E216="Materials",E216="Labor",E216="Dump Fees"),"COGS",IF(OR(E216="Fuel",E216="Insurance",E216="Tools",E216="Repairs"),"Expense","Non-Deductible")))</f>
        <v/>
      </c>
      <c r="G216" t="inlineStr">
        <is>
          <t>COGS</t>
        </is>
      </c>
      <c r="H216">
        <f>IF(G216&lt;&gt;F216,"YES","NO")</f>
        <v/>
      </c>
      <c r="I216" t="inlineStr"/>
      <c r="J216" t="inlineStr">
        <is>
          <t>Bryan</t>
        </is>
      </c>
    </row>
    <row r="217">
      <c r="A217" s="5" t="n">
        <v>45779</v>
      </c>
      <c r="B217" t="inlineStr">
        <is>
          <t>Other Withdrawals - Zelle Instant PMT To Casey Williamson</t>
        </is>
      </c>
      <c r="C217" t="n">
        <v>500</v>
      </c>
      <c r="D217" t="inlineStr">
        <is>
          <t>Debit</t>
        </is>
      </c>
      <c r="E217" t="inlineStr">
        <is>
          <t>Labor</t>
        </is>
      </c>
      <c r="F217">
        <f>IF(E217="Income","Revenue",IF(OR(E217="Materials",E217="Labor",E217="Dump Fees"),"COGS",IF(OR(E217="Fuel",E217="Insurance",E217="Tools",E217="Repairs"),"Expense","Non-Deductible")))</f>
        <v/>
      </c>
      <c r="G217" t="inlineStr">
        <is>
          <t>COGS</t>
        </is>
      </c>
      <c r="H217">
        <f>IF(G217&lt;&gt;F217,"YES","NO")</f>
        <v/>
      </c>
      <c r="I217" t="inlineStr"/>
      <c r="J217" t="inlineStr">
        <is>
          <t>Casey</t>
        </is>
      </c>
    </row>
    <row r="218">
      <c r="A218" s="5" t="n">
        <v>45782</v>
      </c>
      <c r="B218" t="inlineStr">
        <is>
          <t>Card Withdrawals - Debit Purchase - VISA On 050225 4029357733 CA 4517758979</t>
        </is>
      </c>
      <c r="C218" t="n">
        <v>202.49</v>
      </c>
      <c r="D218" t="inlineStr">
        <is>
          <t>Debit</t>
        </is>
      </c>
      <c r="E218" t="inlineStr">
        <is>
          <t>Tools</t>
        </is>
      </c>
      <c r="F218">
        <f>IF(E218="Income","Revenue",IF(OR(E218="Materials",E218="Labor",E218="Dump Fees"),"COGS",IF(OR(E218="Fuel",E218="Insurance",E218="Tools",E218="Repairs"),"Expense","Non-Deductible")))</f>
        <v/>
      </c>
      <c r="G218" t="inlineStr">
        <is>
          <t>Expense</t>
        </is>
      </c>
      <c r="H218">
        <f>IF(G218&lt;&gt;F218,"YES","NO")</f>
        <v/>
      </c>
      <c r="I218" t="inlineStr"/>
      <c r="J218" t="inlineStr"/>
    </row>
    <row r="219">
      <c r="A219" s="5" t="n">
        <v>45782</v>
      </c>
      <c r="B219" t="inlineStr">
        <is>
          <t>Card Withdrawals - Debit Purchase CIRCLE K 01590 1 BELLEVILLE IL $</t>
        </is>
      </c>
      <c r="C219" t="n">
        <v>98.28</v>
      </c>
      <c r="D219" t="inlineStr">
        <is>
          <t>Debit</t>
        </is>
      </c>
      <c r="E219" t="inlineStr">
        <is>
          <t>Tools</t>
        </is>
      </c>
      <c r="F219">
        <f>IF(E219="Income","Revenue",IF(OR(E219="Materials",E219="Labor",E219="Dump Fees"),"COGS",IF(OR(E219="Fuel",E219="Insurance",E219="Tools",E219="Repairs"),"Expense","Non-Deductible")))</f>
        <v/>
      </c>
      <c r="G219" t="inlineStr">
        <is>
          <t>Expense</t>
        </is>
      </c>
      <c r="H219">
        <f>IF(G219&lt;&gt;F219,"YES","NO")</f>
        <v/>
      </c>
      <c r="I219" t="inlineStr"/>
      <c r="J219" t="inlineStr"/>
    </row>
    <row r="220">
      <c r="A220" s="5" t="n">
        <v>45782</v>
      </c>
      <c r="B220" t="inlineStr">
        <is>
          <t>Other Withdrawals - 11,532.23 May14 12,118.44 May27</t>
        </is>
      </c>
      <c r="C220" t="n">
        <v>13512.24</v>
      </c>
      <c r="D220" t="inlineStr">
        <is>
          <t>Credit</t>
        </is>
      </c>
      <c r="E220" t="inlineStr">
        <is>
          <t>Income</t>
        </is>
      </c>
      <c r="F220">
        <f>IF(E220="Income","Revenue",IF(OR(E220="Materials",E220="Labor",E220="Dump Fees"),"COGS",IF(OR(E220="Fuel",E220="Insurance",E220="Tools",E220="Repairs"),"Expense","Non-Deductible")))</f>
        <v/>
      </c>
      <c r="G220" t="inlineStr">
        <is>
          <t>Revenue</t>
        </is>
      </c>
      <c r="H220">
        <f>IF(G220&lt;&gt;F220,"YES","NO")</f>
        <v/>
      </c>
      <c r="I220" t="inlineStr"/>
      <c r="J220" t="inlineStr"/>
    </row>
    <row r="221">
      <c r="A221" s="5" t="n">
        <v>45782</v>
      </c>
      <c r="B221" t="inlineStr">
        <is>
          <t>Other Withdrawals - Mobile Banking Transfer To Account 152316875235</t>
        </is>
      </c>
      <c r="C221" t="n">
        <v>300</v>
      </c>
      <c r="D221" t="inlineStr">
        <is>
          <t>Debit</t>
        </is>
      </c>
      <c r="E221" t="inlineStr">
        <is>
          <t>Transfer</t>
        </is>
      </c>
      <c r="F221">
        <f>IF(E221="Income","Revenue",IF(OR(E221="Materials",E221="Labor",E221="Dump Fees"),"COGS",IF(OR(E221="Fuel",E221="Insurance",E221="Tools",E221="Repairs"),"Expense","Non-Deductible")))</f>
        <v/>
      </c>
      <c r="G221" t="inlineStr">
        <is>
          <t>Non-Deductible</t>
        </is>
      </c>
      <c r="H221">
        <f>IF(G221&lt;&gt;F221,"YES","NO")</f>
        <v/>
      </c>
      <c r="I221" t="inlineStr"/>
      <c r="J221" t="inlineStr"/>
    </row>
    <row r="222">
      <c r="A222" s="5" t="n">
        <v>45783</v>
      </c>
      <c r="B222" t="inlineStr">
        <is>
          <t>Card Withdrawals - Debit Purchase - VISA On 050525 618-2330513 IL 6001800141</t>
        </is>
      </c>
      <c r="C222" t="n">
        <v>114.85</v>
      </c>
      <c r="D222" t="inlineStr">
        <is>
          <t>Debit</t>
        </is>
      </c>
      <c r="E222" t="inlineStr">
        <is>
          <t>Tools</t>
        </is>
      </c>
      <c r="F222">
        <f>IF(E222="Income","Revenue",IF(OR(E222="Materials",E222="Labor",E222="Dump Fees"),"COGS",IF(OR(E222="Fuel",E222="Insurance",E222="Tools",E222="Repairs"),"Expense","Non-Deductible")))</f>
        <v/>
      </c>
      <c r="G222" t="inlineStr">
        <is>
          <t>Expense</t>
        </is>
      </c>
      <c r="H222">
        <f>IF(G222&lt;&gt;F222,"YES","NO")</f>
        <v/>
      </c>
      <c r="I222" t="inlineStr"/>
      <c r="J222" t="inlineStr"/>
    </row>
    <row r="223">
      <c r="A223" s="5" t="n">
        <v>45783</v>
      </c>
      <c r="B223" t="inlineStr">
        <is>
          <t>Other Withdrawals - 20,036.31 May15 18,714.45 May28</t>
        </is>
      </c>
      <c r="C223" t="n">
        <v>13013.24</v>
      </c>
      <c r="D223" t="inlineStr">
        <is>
          <t>Credit</t>
        </is>
      </c>
      <c r="E223" t="inlineStr">
        <is>
          <t>Income</t>
        </is>
      </c>
      <c r="F223">
        <f>IF(E223="Income","Revenue",IF(OR(E223="Materials",E223="Labor",E223="Dump Fees"),"COGS",IF(OR(E223="Fuel",E223="Insurance",E223="Tools",E223="Repairs"),"Expense","Non-Deductible")))</f>
        <v/>
      </c>
      <c r="G223" t="inlineStr">
        <is>
          <t>Revenue</t>
        </is>
      </c>
      <c r="H223">
        <f>IF(G223&lt;&gt;F223,"YES","NO")</f>
        <v/>
      </c>
      <c r="I223" t="inlineStr"/>
      <c r="J223" t="inlineStr"/>
    </row>
    <row r="224">
      <c r="A224" s="5" t="n">
        <v>45783</v>
      </c>
      <c r="B224" t="inlineStr">
        <is>
          <t>Other Withdrawals - Customer Withdrawal 8314809301</t>
        </is>
      </c>
      <c r="C224" t="n">
        <v>850</v>
      </c>
      <c r="D224" t="inlineStr">
        <is>
          <t>Debit</t>
        </is>
      </c>
      <c r="E224" t="inlineStr">
        <is>
          <t>Tools</t>
        </is>
      </c>
      <c r="F224">
        <f>IF(E224="Income","Revenue",IF(OR(E224="Materials",E224="Labor",E224="Dump Fees"),"COGS",IF(OR(E224="Fuel",E224="Insurance",E224="Tools",E224="Repairs"),"Expense","Non-Deductible")))</f>
        <v/>
      </c>
      <c r="G224" t="inlineStr">
        <is>
          <t>Expense</t>
        </is>
      </c>
      <c r="H224">
        <f>IF(G224&lt;&gt;F224,"YES","NO")</f>
        <v/>
      </c>
      <c r="I224" t="inlineStr"/>
      <c r="J224" t="inlineStr"/>
    </row>
    <row r="225">
      <c r="A225" s="5" t="n">
        <v>45783</v>
      </c>
      <c r="B225" t="inlineStr">
        <is>
          <t>Other Withdrawals - Electronic Withdrawal To CEFCU TEL DEBIT</t>
        </is>
      </c>
      <c r="C225" t="n">
        <v>1042.46</v>
      </c>
      <c r="D225" t="inlineStr">
        <is>
          <t>Debit</t>
        </is>
      </c>
      <c r="E225" t="inlineStr">
        <is>
          <t>Tools</t>
        </is>
      </c>
      <c r="F225">
        <f>IF(E225="Income","Revenue",IF(OR(E225="Materials",E225="Labor",E225="Dump Fees"),"COGS",IF(OR(E225="Fuel",E225="Insurance",E225="Tools",E225="Repairs"),"Expense","Non-Deductible")))</f>
        <v/>
      </c>
      <c r="G225" t="inlineStr">
        <is>
          <t>Expense</t>
        </is>
      </c>
      <c r="H225">
        <f>IF(G225&lt;&gt;F225,"YES","NO")</f>
        <v/>
      </c>
      <c r="I225" t="inlineStr"/>
      <c r="J225" t="inlineStr"/>
    </row>
    <row r="226">
      <c r="A226" s="5" t="n">
        <v>45784</v>
      </c>
      <c r="B226" t="inlineStr">
        <is>
          <t>Card Withdrawals - Debit Purchase - VISA On 050525 800-288-2020 TX 6103735171</t>
        </is>
      </c>
      <c r="C226" t="n">
        <v>75.98999999999999</v>
      </c>
      <c r="D226" t="inlineStr">
        <is>
          <t>Debit</t>
        </is>
      </c>
      <c r="E226" t="inlineStr">
        <is>
          <t>Tools</t>
        </is>
      </c>
      <c r="F226">
        <f>IF(E226="Income","Revenue",IF(OR(E226="Materials",E226="Labor",E226="Dump Fees"),"COGS",IF(OR(E226="Fuel",E226="Insurance",E226="Tools",E226="Repairs"),"Expense","Non-Deductible")))</f>
        <v/>
      </c>
      <c r="G226" t="inlineStr">
        <is>
          <t>Expense</t>
        </is>
      </c>
      <c r="H226">
        <f>IF(G226&lt;&gt;F226,"YES","NO")</f>
        <v/>
      </c>
      <c r="I226" t="inlineStr"/>
      <c r="J226" t="inlineStr"/>
    </row>
    <row r="227">
      <c r="A227" s="5" t="n">
        <v>45784</v>
      </c>
      <c r="B227" t="inlineStr">
        <is>
          <t>Other Deposits - Zelle Instant PMT To Nadia Session</t>
        </is>
      </c>
      <c r="C227" t="n">
        <v>243</v>
      </c>
      <c r="D227" t="inlineStr">
        <is>
          <t>Credit</t>
        </is>
      </c>
      <c r="E227" t="inlineStr">
        <is>
          <t>Income</t>
        </is>
      </c>
      <c r="F227">
        <f>IF(E227="Income","Revenue",IF(OR(E227="Materials",E227="Labor",E227="Dump Fees"),"COGS",IF(OR(E227="Fuel",E227="Insurance",E227="Tools",E227="Repairs"),"Expense","Non-Deductible")))</f>
        <v/>
      </c>
      <c r="G227" t="inlineStr">
        <is>
          <t>Revenue</t>
        </is>
      </c>
      <c r="H227">
        <f>IF(G227&lt;&gt;F227,"YES","NO")</f>
        <v/>
      </c>
      <c r="I227" t="inlineStr"/>
      <c r="J227" t="inlineStr"/>
    </row>
    <row r="228">
      <c r="A228" s="5" t="n">
        <v>45784</v>
      </c>
      <c r="B228" t="inlineStr">
        <is>
          <t>Other Withdrawals - 17,696.32 May16 16,124.89 May29</t>
        </is>
      </c>
      <c r="C228" t="n">
        <v>13001.43</v>
      </c>
      <c r="D228" t="inlineStr">
        <is>
          <t>Credit</t>
        </is>
      </c>
      <c r="E228" t="inlineStr">
        <is>
          <t>Income</t>
        </is>
      </c>
      <c r="F228">
        <f>IF(E228="Income","Revenue",IF(OR(E228="Materials",E228="Labor",E228="Dump Fees"),"COGS",IF(OR(E228="Fuel",E228="Insurance",E228="Tools",E228="Repairs"),"Expense","Non-Deductible")))</f>
        <v/>
      </c>
      <c r="G228" t="inlineStr">
        <is>
          <t>Revenue</t>
        </is>
      </c>
      <c r="H228">
        <f>IF(G228&lt;&gt;F228,"YES","NO")</f>
        <v/>
      </c>
      <c r="I228" t="inlineStr"/>
      <c r="J228" t="inlineStr"/>
    </row>
    <row r="229">
      <c r="A229" s="5" t="n">
        <v>45784</v>
      </c>
      <c r="B229" t="inlineStr">
        <is>
          <t>Other Withdrawals - Mobile Banking Payment To Credit Card *************3424</t>
        </is>
      </c>
      <c r="C229" t="n">
        <v>2000</v>
      </c>
      <c r="D229" t="inlineStr">
        <is>
          <t>Debit</t>
        </is>
      </c>
      <c r="E229" t="inlineStr">
        <is>
          <t>Fuel</t>
        </is>
      </c>
      <c r="F229">
        <f>IF(E229="Income","Revenue",IF(OR(E229="Materials",E229="Labor",E229="Dump Fees"),"COGS",IF(OR(E229="Fuel",E229="Insurance",E229="Tools",E229="Repairs"),"Expense","Non-Deductible")))</f>
        <v/>
      </c>
      <c r="G229" t="inlineStr">
        <is>
          <t>Expense</t>
        </is>
      </c>
      <c r="H229">
        <f>IF(G229&lt;&gt;F229,"YES","NO")</f>
        <v/>
      </c>
      <c r="I229" t="inlineStr"/>
      <c r="J229" t="inlineStr"/>
    </row>
    <row r="230">
      <c r="A230" s="5" t="n">
        <v>45784</v>
      </c>
      <c r="B230" t="inlineStr">
        <is>
          <t>Other Withdrawals - Mobile Banking Transfer To Account 152316874980</t>
        </is>
      </c>
      <c r="C230" t="n">
        <v>21</v>
      </c>
      <c r="D230" t="inlineStr">
        <is>
          <t>Debit</t>
        </is>
      </c>
      <c r="E230" t="inlineStr">
        <is>
          <t>Transfer</t>
        </is>
      </c>
      <c r="F230">
        <f>IF(E230="Income","Revenue",IF(OR(E230="Materials",E230="Labor",E230="Dump Fees"),"COGS",IF(OR(E230="Fuel",E230="Insurance",E230="Tools",E230="Repairs"),"Expense","Non-Deductible")))</f>
        <v/>
      </c>
      <c r="G230" t="inlineStr">
        <is>
          <t>Non-Deductible</t>
        </is>
      </c>
      <c r="H230">
        <f>IF(G230&lt;&gt;F230,"YES","NO")</f>
        <v/>
      </c>
      <c r="I230" t="inlineStr"/>
      <c r="J230" t="inlineStr"/>
    </row>
    <row r="231">
      <c r="A231" s="5" t="n">
        <v>45784</v>
      </c>
      <c r="B231" t="inlineStr">
        <is>
          <t>Other Withdrawals - Zelle Instant PMT To Nadia Session</t>
        </is>
      </c>
      <c r="C231" t="n">
        <v>243</v>
      </c>
      <c r="D231" t="inlineStr">
        <is>
          <t>Debit</t>
        </is>
      </c>
      <c r="E231" t="inlineStr">
        <is>
          <t>Tools</t>
        </is>
      </c>
      <c r="F231">
        <f>IF(E231="Income","Revenue",IF(OR(E231="Materials",E231="Labor",E231="Dump Fees"),"COGS",IF(OR(E231="Fuel",E231="Insurance",E231="Tools",E231="Repairs"),"Expense","Non-Deductible")))</f>
        <v/>
      </c>
      <c r="G231" t="inlineStr">
        <is>
          <t>Expense</t>
        </is>
      </c>
      <c r="H231">
        <f>IF(G231&lt;&gt;F231,"YES","NO")</f>
        <v/>
      </c>
      <c r="I231" t="inlineStr"/>
      <c r="J231" t="inlineStr"/>
    </row>
    <row r="232">
      <c r="A232" s="5" t="n">
        <v>45785</v>
      </c>
      <c r="B232" t="inlineStr">
        <is>
          <t>Card Withdrawals - Debit Purchase - VISA On 050625 EAST ALTON IL 7104386804</t>
        </is>
      </c>
      <c r="C232" t="n">
        <v>11.64</v>
      </c>
      <c r="D232" t="inlineStr">
        <is>
          <t>Debit</t>
        </is>
      </c>
      <c r="E232" t="inlineStr">
        <is>
          <t>Tools</t>
        </is>
      </c>
      <c r="F232">
        <f>IF(E232="Income","Revenue",IF(OR(E232="Materials",E232="Labor",E232="Dump Fees"),"COGS",IF(OR(E232="Fuel",E232="Insurance",E232="Tools",E232="Repairs"),"Expense","Non-Deductible")))</f>
        <v/>
      </c>
      <c r="G232" t="inlineStr">
        <is>
          <t>Expense</t>
        </is>
      </c>
      <c r="H232">
        <f>IF(G232&lt;&gt;F232,"YES","NO")</f>
        <v/>
      </c>
      <c r="I232" t="inlineStr"/>
      <c r="J232" t="inlineStr"/>
    </row>
    <row r="233">
      <c r="A233" s="5" t="n">
        <v>45785</v>
      </c>
      <c r="B233" t="inlineStr">
        <is>
          <t>Card Withdrawals - Debit Purchase - VISA On 050625 EAST ALTON IL 7104386805</t>
        </is>
      </c>
      <c r="C233" t="n">
        <v>11.19</v>
      </c>
      <c r="D233" t="inlineStr">
        <is>
          <t>Debit</t>
        </is>
      </c>
      <c r="E233" t="inlineStr">
        <is>
          <t>Tools</t>
        </is>
      </c>
      <c r="F233">
        <f>IF(E233="Income","Revenue",IF(OR(E233="Materials",E233="Labor",E233="Dump Fees"),"COGS",IF(OR(E233="Fuel",E233="Insurance",E233="Tools",E233="Repairs"),"Expense","Non-Deductible")))</f>
        <v/>
      </c>
      <c r="G233" t="inlineStr">
        <is>
          <t>Expense</t>
        </is>
      </c>
      <c r="H233">
        <f>IF(G233&lt;&gt;F233,"YES","NO")</f>
        <v/>
      </c>
      <c r="I233" t="inlineStr"/>
      <c r="J233" t="inlineStr"/>
    </row>
    <row r="234">
      <c r="A234" s="5" t="n">
        <v>45785</v>
      </c>
      <c r="B234" t="inlineStr">
        <is>
          <t>Card Withdrawals - Debit Purchase - VISA On 050725 FREEBURG IL 7720246863</t>
        </is>
      </c>
      <c r="C234" t="n">
        <v>10.65</v>
      </c>
      <c r="D234" t="inlineStr">
        <is>
          <t>Debit</t>
        </is>
      </c>
      <c r="E234" t="inlineStr">
        <is>
          <t>Tools</t>
        </is>
      </c>
      <c r="F234">
        <f>IF(E234="Income","Revenue",IF(OR(E234="Materials",E234="Labor",E234="Dump Fees"),"COGS",IF(OR(E234="Fuel",E234="Insurance",E234="Tools",E234="Repairs"),"Expense","Non-Deductible")))</f>
        <v/>
      </c>
      <c r="G234" t="inlineStr">
        <is>
          <t>Expense</t>
        </is>
      </c>
      <c r="H234">
        <f>IF(G234&lt;&gt;F234,"YES","NO")</f>
        <v/>
      </c>
      <c r="I234" t="inlineStr"/>
      <c r="J234" t="inlineStr"/>
    </row>
    <row r="235">
      <c r="A235" s="5" t="n">
        <v>45785</v>
      </c>
      <c r="B235" t="inlineStr">
        <is>
          <t>Other Withdrawals - 13,795.84 May19 15,500.95 May30</t>
        </is>
      </c>
      <c r="C235" t="n">
        <v>11822.43</v>
      </c>
      <c r="D235" t="inlineStr">
        <is>
          <t>Credit</t>
        </is>
      </c>
      <c r="E235" t="inlineStr">
        <is>
          <t>Income</t>
        </is>
      </c>
      <c r="F235">
        <f>IF(E235="Income","Revenue",IF(OR(E235="Materials",E235="Labor",E235="Dump Fees"),"COGS",IF(OR(E235="Fuel",E235="Insurance",E235="Tools",E235="Repairs"),"Expense","Non-Deductible")))</f>
        <v/>
      </c>
      <c r="G235" t="inlineStr">
        <is>
          <t>Revenue</t>
        </is>
      </c>
      <c r="H235">
        <f>IF(G235&lt;&gt;F235,"YES","NO")</f>
        <v/>
      </c>
      <c r="I235" t="inlineStr"/>
      <c r="J235" t="inlineStr"/>
    </row>
    <row r="236">
      <c r="A236" s="5" t="n">
        <v>45785</v>
      </c>
      <c r="B236" t="inlineStr">
        <is>
          <t>Other Withdrawals - Electronic Withdrawal To DISCOVER</t>
        </is>
      </c>
      <c r="C236" t="n">
        <v>2000</v>
      </c>
      <c r="D236" t="inlineStr">
        <is>
          <t>Debit</t>
        </is>
      </c>
      <c r="E236" t="inlineStr">
        <is>
          <t>Tools</t>
        </is>
      </c>
      <c r="F236">
        <f>IF(E236="Income","Revenue",IF(OR(E236="Materials",E236="Labor",E236="Dump Fees"),"COGS",IF(OR(E236="Fuel",E236="Insurance",E236="Tools",E236="Repairs"),"Expense","Non-Deductible")))</f>
        <v/>
      </c>
      <c r="G236" t="inlineStr">
        <is>
          <t>Expense</t>
        </is>
      </c>
      <c r="H236">
        <f>IF(G236&lt;&gt;F236,"YES","NO")</f>
        <v/>
      </c>
      <c r="I236" t="inlineStr"/>
      <c r="J236" t="inlineStr"/>
    </row>
    <row r="237">
      <c r="A237" s="5" t="n">
        <v>45785</v>
      </c>
      <c r="B237" t="inlineStr">
        <is>
          <t>Other Withdrawals - Electronic Withdrawal To MERCURY CARD FBT</t>
        </is>
      </c>
      <c r="C237" t="n">
        <v>700</v>
      </c>
      <c r="D237" t="inlineStr">
        <is>
          <t>Debit</t>
        </is>
      </c>
      <c r="E237" t="inlineStr">
        <is>
          <t>Tools</t>
        </is>
      </c>
      <c r="F237">
        <f>IF(E237="Income","Revenue",IF(OR(E237="Materials",E237="Labor",E237="Dump Fees"),"COGS",IF(OR(E237="Fuel",E237="Insurance",E237="Tools",E237="Repairs"),"Expense","Non-Deductible")))</f>
        <v/>
      </c>
      <c r="G237" t="inlineStr">
        <is>
          <t>Expense</t>
        </is>
      </c>
      <c r="H237">
        <f>IF(G237&lt;&gt;F237,"YES","NO")</f>
        <v/>
      </c>
      <c r="I237" t="inlineStr"/>
      <c r="J237" t="inlineStr"/>
    </row>
    <row r="238">
      <c r="A238" s="5" t="n">
        <v>45785</v>
      </c>
      <c r="B238" t="inlineStr">
        <is>
          <t>Other Withdrawals - Mobile Banking Transfer To Account 152316875235</t>
        </is>
      </c>
      <c r="C238" t="n">
        <v>540</v>
      </c>
      <c r="D238" t="inlineStr">
        <is>
          <t>Debit</t>
        </is>
      </c>
      <c r="E238" t="inlineStr">
        <is>
          <t>Transfer</t>
        </is>
      </c>
      <c r="F238">
        <f>IF(E238="Income","Revenue",IF(OR(E238="Materials",E238="Labor",E238="Dump Fees"),"COGS",IF(OR(E238="Fuel",E238="Insurance",E238="Tools",E238="Repairs"),"Expense","Non-Deductible")))</f>
        <v/>
      </c>
      <c r="G238" t="inlineStr">
        <is>
          <t>Non-Deductible</t>
        </is>
      </c>
      <c r="H238">
        <f>IF(G238&lt;&gt;F238,"YES","NO")</f>
        <v/>
      </c>
      <c r="I238" t="inlineStr"/>
      <c r="J238" t="inlineStr"/>
    </row>
    <row r="239">
      <c r="A239" s="5" t="n">
        <v>45785</v>
      </c>
      <c r="B239" t="inlineStr">
        <is>
          <t>Other Withdrawals - Mobile Banking Transfer To Account 152316875235</t>
        </is>
      </c>
      <c r="C239" t="n">
        <v>627</v>
      </c>
      <c r="D239" t="inlineStr">
        <is>
          <t>Debit</t>
        </is>
      </c>
      <c r="E239" t="inlineStr">
        <is>
          <t>Transfer</t>
        </is>
      </c>
      <c r="F239">
        <f>IF(E239="Income","Revenue",IF(OR(E239="Materials",E239="Labor",E239="Dump Fees"),"COGS",IF(OR(E239="Fuel",E239="Insurance",E239="Tools",E239="Repairs"),"Expense","Non-Deductible")))</f>
        <v/>
      </c>
      <c r="G239" t="inlineStr">
        <is>
          <t>Non-Deductible</t>
        </is>
      </c>
      <c r="H239">
        <f>IF(G239&lt;&gt;F239,"YES","NO")</f>
        <v/>
      </c>
      <c r="I239" t="inlineStr"/>
      <c r="J239" t="inlineStr"/>
    </row>
    <row r="240">
      <c r="A240" s="5" t="n">
        <v>45786</v>
      </c>
      <c r="B240" t="inlineStr">
        <is>
          <t>Card Withdrawals - Debit Purchase - VISA On 050725 FAIRVIEW HEI IL 8105130238</t>
        </is>
      </c>
      <c r="C240" t="n">
        <v>17.98</v>
      </c>
      <c r="D240" t="inlineStr">
        <is>
          <t>Debit</t>
        </is>
      </c>
      <c r="E240" t="inlineStr">
        <is>
          <t>Tools</t>
        </is>
      </c>
      <c r="F240">
        <f>IF(E240="Income","Revenue",IF(OR(E240="Materials",E240="Labor",E240="Dump Fees"),"COGS",IF(OR(E240="Fuel",E240="Insurance",E240="Tools",E240="Repairs"),"Expense","Non-Deductible")))</f>
        <v/>
      </c>
      <c r="G240" t="inlineStr">
        <is>
          <t>Expense</t>
        </is>
      </c>
      <c r="H240">
        <f>IF(G240&lt;&gt;F240,"YES","NO")</f>
        <v/>
      </c>
      <c r="I240" t="inlineStr"/>
      <c r="J240" t="inlineStr"/>
    </row>
    <row r="241">
      <c r="A241" s="5" t="n">
        <v>45786</v>
      </c>
      <c r="B241" t="inlineStr">
        <is>
          <t>Card Withdrawals - Debit Purchase DOLLAR-GENERAL # FREEBURG IL 0805091440</t>
        </is>
      </c>
      <c r="C241" t="n">
        <v>85.68000000000001</v>
      </c>
      <c r="D241" t="inlineStr">
        <is>
          <t>Debit</t>
        </is>
      </c>
      <c r="E241" t="inlineStr">
        <is>
          <t>Tools</t>
        </is>
      </c>
      <c r="F241">
        <f>IF(E241="Income","Revenue",IF(OR(E241="Materials",E241="Labor",E241="Dump Fees"),"COGS",IF(OR(E241="Fuel",E241="Insurance",E241="Tools",E241="Repairs"),"Expense","Non-Deductible")))</f>
        <v/>
      </c>
      <c r="G241" t="inlineStr">
        <is>
          <t>Expense</t>
        </is>
      </c>
      <c r="H241">
        <f>IF(G241&lt;&gt;F241,"YES","NO")</f>
        <v/>
      </c>
      <c r="I241" t="inlineStr"/>
      <c r="J241" t="inlineStr"/>
    </row>
    <row r="242">
      <c r="A242" s="5" t="n">
        <v>45786</v>
      </c>
      <c r="B242" t="inlineStr">
        <is>
          <t>Card Withdrawals - Debit Purchase verifyvend855-55 PROVIDENCE RI 6105091318</t>
        </is>
      </c>
      <c r="C242" t="n">
        <v>275</v>
      </c>
      <c r="D242" t="inlineStr">
        <is>
          <t>Debit</t>
        </is>
      </c>
      <c r="E242" t="inlineStr">
        <is>
          <t>Tools</t>
        </is>
      </c>
      <c r="F242">
        <f>IF(E242="Income","Revenue",IF(OR(E242="Materials",E242="Labor",E242="Dump Fees"),"COGS",IF(OR(E242="Fuel",E242="Insurance",E242="Tools",E242="Repairs"),"Expense","Non-Deductible")))</f>
        <v/>
      </c>
      <c r="G242" t="inlineStr">
        <is>
          <t>Expense</t>
        </is>
      </c>
      <c r="H242">
        <f>IF(G242&lt;&gt;F242,"YES","NO")</f>
        <v/>
      </c>
      <c r="I242" t="inlineStr"/>
      <c r="J242" t="inlineStr"/>
    </row>
    <row r="243">
      <c r="A243" s="5" t="n">
        <v>45786</v>
      </c>
      <c r="B243" t="inlineStr">
        <is>
          <t>Other Withdrawals - 12,217.18 May20</t>
        </is>
      </c>
      <c r="C243" t="n">
        <v>14579.74</v>
      </c>
      <c r="D243" t="inlineStr">
        <is>
          <t>Credit</t>
        </is>
      </c>
      <c r="E243" t="inlineStr">
        <is>
          <t>Income</t>
        </is>
      </c>
      <c r="F243">
        <f>IF(E243="Income","Revenue",IF(OR(E243="Materials",E243="Labor",E243="Dump Fees"),"COGS",IF(OR(E243="Fuel",E243="Insurance",E243="Tools",E243="Repairs"),"Expense","Non-Deductible")))</f>
        <v/>
      </c>
      <c r="G243" t="inlineStr">
        <is>
          <t>Revenue</t>
        </is>
      </c>
      <c r="H243">
        <f>IF(G243&lt;&gt;F243,"YES","NO")</f>
        <v/>
      </c>
      <c r="I243" t="inlineStr"/>
      <c r="J243" t="inlineStr"/>
    </row>
    <row r="244">
      <c r="A244" s="5" t="n">
        <v>45786</v>
      </c>
      <c r="B244" t="inlineStr">
        <is>
          <t>Other Withdrawals - Mobile Banking Transfer To Account 152316875235</t>
        </is>
      </c>
      <c r="C244" t="n">
        <v>200</v>
      </c>
      <c r="D244" t="inlineStr">
        <is>
          <t>Debit</t>
        </is>
      </c>
      <c r="E244" t="inlineStr">
        <is>
          <t>Transfer</t>
        </is>
      </c>
      <c r="F244">
        <f>IF(E244="Income","Revenue",IF(OR(E244="Materials",E244="Labor",E244="Dump Fees"),"COGS",IF(OR(E244="Fuel",E244="Insurance",E244="Tools",E244="Repairs"),"Expense","Non-Deductible")))</f>
        <v/>
      </c>
      <c r="G244" t="inlineStr">
        <is>
          <t>Non-Deductible</t>
        </is>
      </c>
      <c r="H244">
        <f>IF(G244&lt;&gt;F244,"YES","NO")</f>
        <v/>
      </c>
      <c r="I244" t="inlineStr"/>
      <c r="J244" t="inlineStr"/>
    </row>
    <row r="245">
      <c r="A245" s="5" t="n">
        <v>45786</v>
      </c>
      <c r="B245" t="inlineStr">
        <is>
          <t>Other Withdrawals - Zelle Instant PMT To Brian Davis</t>
        </is>
      </c>
      <c r="C245" t="n">
        <v>800</v>
      </c>
      <c r="D245" t="inlineStr">
        <is>
          <t>Debit</t>
        </is>
      </c>
      <c r="E245" t="inlineStr">
        <is>
          <t>Labor</t>
        </is>
      </c>
      <c r="F245">
        <f>IF(E245="Income","Revenue",IF(OR(E245="Materials",E245="Labor",E245="Dump Fees"),"COGS",IF(OR(E245="Fuel",E245="Insurance",E245="Tools",E245="Repairs"),"Expense","Non-Deductible")))</f>
        <v/>
      </c>
      <c r="G245" t="inlineStr">
        <is>
          <t>COGS</t>
        </is>
      </c>
      <c r="H245">
        <f>IF(G245&lt;&gt;F245,"YES","NO")</f>
        <v/>
      </c>
      <c r="I245" t="inlineStr"/>
      <c r="J245" t="inlineStr">
        <is>
          <t>Bryan</t>
        </is>
      </c>
    </row>
    <row r="246">
      <c r="A246" s="5" t="n">
        <v>45786</v>
      </c>
      <c r="B246" t="inlineStr">
        <is>
          <t>Other Withdrawals - Zelle Instant PMT To Casey Williamson</t>
        </is>
      </c>
      <c r="C246" t="n">
        <v>200</v>
      </c>
      <c r="D246" t="inlineStr">
        <is>
          <t>Debit</t>
        </is>
      </c>
      <c r="E246" t="inlineStr">
        <is>
          <t>Labor</t>
        </is>
      </c>
      <c r="F246">
        <f>IF(E246="Income","Revenue",IF(OR(E246="Materials",E246="Labor",E246="Dump Fees"),"COGS",IF(OR(E246="Fuel",E246="Insurance",E246="Tools",E246="Repairs"),"Expense","Non-Deductible")))</f>
        <v/>
      </c>
      <c r="G246" t="inlineStr">
        <is>
          <t>COGS</t>
        </is>
      </c>
      <c r="H246">
        <f>IF(G246&lt;&gt;F246,"YES","NO")</f>
        <v/>
      </c>
      <c r="I246" t="inlineStr"/>
      <c r="J246" t="inlineStr">
        <is>
          <t>Casey</t>
        </is>
      </c>
    </row>
    <row r="247">
      <c r="A247" s="5" t="n">
        <v>45810</v>
      </c>
      <c r="B247" t="inlineStr">
        <is>
          <t>Card Withdrawals - Debit Purchase - VISA On 053025 618-2869595 IL 0900017200</t>
        </is>
      </c>
      <c r="C247" t="n">
        <v>454.52</v>
      </c>
      <c r="D247" t="inlineStr">
        <is>
          <t>Debit</t>
        </is>
      </c>
      <c r="E247" t="inlineStr">
        <is>
          <t>Tools</t>
        </is>
      </c>
      <c r="F247">
        <f>IF(E247="Income","Revenue",IF(OR(E247="Materials",E247="Labor",E247="Dump Fees"),"COGS",IF(OR(E247="Fuel",E247="Insurance",E247="Tools",E247="Repairs"),"Expense","Non-Deductible")))</f>
        <v/>
      </c>
      <c r="G247" t="inlineStr">
        <is>
          <t>Expense</t>
        </is>
      </c>
      <c r="H247">
        <f>IF(G247&lt;&gt;F247,"YES","NO")</f>
        <v/>
      </c>
      <c r="I247" t="inlineStr"/>
      <c r="J247" t="inlineStr"/>
    </row>
    <row r="248">
      <c r="A248" s="5" t="n">
        <v>45810</v>
      </c>
      <c r="B248" t="inlineStr">
        <is>
          <t>Card Withdrawals - Debit Purchase - VISA On 053125 MARISSA IL 2300736012</t>
        </is>
      </c>
      <c r="C248" t="n">
        <v>59.69</v>
      </c>
      <c r="D248" t="inlineStr">
        <is>
          <t>Debit</t>
        </is>
      </c>
      <c r="E248" t="inlineStr">
        <is>
          <t>Tools</t>
        </is>
      </c>
      <c r="F248">
        <f>IF(E248="Income","Revenue",IF(OR(E248="Materials",E248="Labor",E248="Dump Fees"),"COGS",IF(OR(E248="Fuel",E248="Insurance",E248="Tools",E248="Repairs"),"Expense","Non-Deductible")))</f>
        <v/>
      </c>
      <c r="G248" t="inlineStr">
        <is>
          <t>Expense</t>
        </is>
      </c>
      <c r="H248">
        <f>IF(G248&lt;&gt;F248,"YES","NO")</f>
        <v/>
      </c>
      <c r="I248" t="inlineStr"/>
      <c r="J248" t="inlineStr"/>
    </row>
    <row r="249">
      <c r="A249" s="5" t="n">
        <v>45810</v>
      </c>
      <c r="B249" t="inlineStr">
        <is>
          <t>Card Withdrawals - Debit Purchase CASEYS #1986 943 MARISSA IL 8105311332 $</t>
        </is>
      </c>
      <c r="C249" t="n">
        <v>7.45</v>
      </c>
      <c r="D249" t="inlineStr">
        <is>
          <t>Debit</t>
        </is>
      </c>
      <c r="E249" t="inlineStr">
        <is>
          <t>Labor</t>
        </is>
      </c>
      <c r="F249">
        <f>IF(E249="Income","Revenue",IF(OR(E249="Materials",E249="Labor",E249="Dump Fees"),"COGS",IF(OR(E249="Fuel",E249="Insurance",E249="Tools",E249="Repairs"),"Expense","Non-Deductible")))</f>
        <v/>
      </c>
      <c r="G249" t="inlineStr">
        <is>
          <t>COGS</t>
        </is>
      </c>
      <c r="H249">
        <f>IF(G249&lt;&gt;F249,"YES","NO")</f>
        <v/>
      </c>
      <c r="I249" t="inlineStr"/>
      <c r="J249" t="inlineStr">
        <is>
          <t>Casey</t>
        </is>
      </c>
    </row>
    <row r="250">
      <c r="A250" s="5" t="n">
        <v>45810</v>
      </c>
      <c r="B250" t="inlineStr">
        <is>
          <t>Other Deposits - Mobile Check Deposit 8013933071 $</t>
        </is>
      </c>
      <c r="C250" t="n">
        <v>3250</v>
      </c>
      <c r="D250" t="inlineStr">
        <is>
          <t>Credit</t>
        </is>
      </c>
      <c r="E250" t="inlineStr">
        <is>
          <t>Income</t>
        </is>
      </c>
      <c r="F250">
        <f>IF(E250="Income","Revenue",IF(OR(E250="Materials",E250="Labor",E250="Dump Fees"),"COGS",IF(OR(E250="Fuel",E250="Insurance",E250="Tools",E250="Repairs"),"Expense","Non-Deductible")))</f>
        <v/>
      </c>
      <c r="G250" t="inlineStr">
        <is>
          <t>Revenue</t>
        </is>
      </c>
      <c r="H250">
        <f>IF(G250&lt;&gt;F250,"YES","NO")</f>
        <v/>
      </c>
      <c r="I250" t="inlineStr"/>
      <c r="J250" t="inlineStr"/>
    </row>
    <row r="251">
      <c r="A251" s="5" t="n">
        <v>45810</v>
      </c>
      <c r="B251" t="inlineStr">
        <is>
          <t>Other Withdrawals - Zelle Instant PMT To Tabitha Session $</t>
        </is>
      </c>
      <c r="C251" t="n">
        <v>222</v>
      </c>
      <c r="D251" t="inlineStr">
        <is>
          <t>Debit</t>
        </is>
      </c>
      <c r="E251" t="inlineStr">
        <is>
          <t>Tools</t>
        </is>
      </c>
      <c r="F251">
        <f>IF(E251="Income","Revenue",IF(OR(E251="Materials",E251="Labor",E251="Dump Fees"),"COGS",IF(OR(E251="Fuel",E251="Insurance",E251="Tools",E251="Repairs"),"Expense","Non-Deductible")))</f>
        <v/>
      </c>
      <c r="G251" t="inlineStr">
        <is>
          <t>Expense</t>
        </is>
      </c>
      <c r="H251">
        <f>IF(G251&lt;&gt;F251,"YES","NO")</f>
        <v/>
      </c>
      <c r="I251" t="inlineStr"/>
      <c r="J251" t="inlineStr"/>
    </row>
    <row r="252">
      <c r="A252" s="5" t="n">
        <v>45811</v>
      </c>
      <c r="B252" t="inlineStr">
        <is>
          <t>Card Withdrawals - Debit Purchase - VISA On 060225 Freeburg IL 3107975359</t>
        </is>
      </c>
      <c r="C252" t="n">
        <v>5.16</v>
      </c>
      <c r="D252" t="inlineStr">
        <is>
          <t>Debit</t>
        </is>
      </c>
      <c r="E252" t="inlineStr">
        <is>
          <t>Tools</t>
        </is>
      </c>
      <c r="F252">
        <f>IF(E252="Income","Revenue",IF(OR(E252="Materials",E252="Labor",E252="Dump Fees"),"COGS",IF(OR(E252="Fuel",E252="Insurance",E252="Tools",E252="Repairs"),"Expense","Non-Deductible")))</f>
        <v/>
      </c>
      <c r="G252" t="inlineStr">
        <is>
          <t>Expense</t>
        </is>
      </c>
      <c r="H252">
        <f>IF(G252&lt;&gt;F252,"YES","NO")</f>
        <v/>
      </c>
      <c r="I252" t="inlineStr"/>
      <c r="J252" t="inlineStr"/>
    </row>
    <row r="253">
      <c r="A253" s="5" t="n">
        <v>45811</v>
      </c>
      <c r="B253" t="inlineStr">
        <is>
          <t>Card Withdrawals - Debit Purchase CIRCLE K # 01355 COLLINSVILLEIL</t>
        </is>
      </c>
      <c r="C253" t="n">
        <v>93.65000000000001</v>
      </c>
      <c r="D253" t="inlineStr">
        <is>
          <t>Debit</t>
        </is>
      </c>
      <c r="E253" t="inlineStr">
        <is>
          <t>Tools</t>
        </is>
      </c>
      <c r="F253">
        <f>IF(E253="Income","Revenue",IF(OR(E253="Materials",E253="Labor",E253="Dump Fees"),"COGS",IF(OR(E253="Fuel",E253="Insurance",E253="Tools",E253="Repairs"),"Expense","Non-Deductible")))</f>
        <v/>
      </c>
      <c r="G253" t="inlineStr">
        <is>
          <t>Expense</t>
        </is>
      </c>
      <c r="H253">
        <f>IF(G253&lt;&gt;F253,"YES","NO")</f>
        <v/>
      </c>
      <c r="I253" t="inlineStr"/>
      <c r="J253" t="inlineStr"/>
    </row>
    <row r="254">
      <c r="A254" s="5" t="n">
        <v>45811</v>
      </c>
      <c r="B254" t="inlineStr">
        <is>
          <t>Other Withdrawals - Electronic Withdrawal To MERCURY CARD FBT</t>
        </is>
      </c>
      <c r="C254" t="n">
        <v>500</v>
      </c>
      <c r="D254" t="inlineStr">
        <is>
          <t>Debit</t>
        </is>
      </c>
      <c r="E254" t="inlineStr">
        <is>
          <t>Tools</t>
        </is>
      </c>
      <c r="F254">
        <f>IF(E254="Income","Revenue",IF(OR(E254="Materials",E254="Labor",E254="Dump Fees"),"COGS",IF(OR(E254="Fuel",E254="Insurance",E254="Tools",E254="Repairs"),"Expense","Non-Deductible")))</f>
        <v/>
      </c>
      <c r="G254" t="inlineStr">
        <is>
          <t>Expense</t>
        </is>
      </c>
      <c r="H254">
        <f>IF(G254&lt;&gt;F254,"YES","NO")</f>
        <v/>
      </c>
      <c r="I254" t="inlineStr"/>
      <c r="J254" t="inlineStr"/>
    </row>
    <row r="255">
      <c r="A255" s="5" t="n">
        <v>45812</v>
      </c>
      <c r="B255" t="inlineStr">
        <is>
          <t>Card Withdrawals - Debit Purchase - VISA On 060325 FREEBURG IL 4300723778</t>
        </is>
      </c>
      <c r="C255" t="n">
        <v>34.52</v>
      </c>
      <c r="D255" t="inlineStr">
        <is>
          <t>Debit</t>
        </is>
      </c>
      <c r="E255" t="inlineStr">
        <is>
          <t>Tools</t>
        </is>
      </c>
      <c r="F255">
        <f>IF(E255="Income","Revenue",IF(OR(E255="Materials",E255="Labor",E255="Dump Fees"),"COGS",IF(OR(E255="Fuel",E255="Insurance",E255="Tools",E255="Repairs"),"Expense","Non-Deductible")))</f>
        <v/>
      </c>
      <c r="G255" t="inlineStr">
        <is>
          <t>Expense</t>
        </is>
      </c>
      <c r="H255">
        <f>IF(G255&lt;&gt;F255,"YES","NO")</f>
        <v/>
      </c>
      <c r="I255" t="inlineStr"/>
      <c r="J255" t="inlineStr"/>
    </row>
    <row r="256">
      <c r="A256" s="5" t="n">
        <v>45817</v>
      </c>
      <c r="B256" t="inlineStr">
        <is>
          <t>Card Withdrawals - Debit Purchase - VISA On 060625 BELLEVILLE IL 8364861908</t>
        </is>
      </c>
      <c r="C256" t="n">
        <v>49</v>
      </c>
      <c r="D256" t="inlineStr">
        <is>
          <t>Debit</t>
        </is>
      </c>
      <c r="E256" t="inlineStr">
        <is>
          <t>Tools</t>
        </is>
      </c>
      <c r="F256">
        <f>IF(E256="Income","Revenue",IF(OR(E256="Materials",E256="Labor",E256="Dump Fees"),"COGS",IF(OR(E256="Fuel",E256="Insurance",E256="Tools",E256="Repairs"),"Expense","Non-Deductible")))</f>
        <v/>
      </c>
      <c r="G256" t="inlineStr">
        <is>
          <t>Expense</t>
        </is>
      </c>
      <c r="H256">
        <f>IF(G256&lt;&gt;F256,"YES","NO")</f>
        <v/>
      </c>
      <c r="I256" t="inlineStr"/>
      <c r="J256" t="inlineStr"/>
    </row>
    <row r="257">
      <c r="A257" s="5" t="n">
        <v>45817</v>
      </c>
      <c r="B257" t="inlineStr">
        <is>
          <t>Card Withdrawals - Debit Purchase - VISA On 060625 BELLEVILLE IL 9855201074</t>
        </is>
      </c>
      <c r="C257" t="n">
        <v>120.88</v>
      </c>
      <c r="D257" t="inlineStr">
        <is>
          <t>Debit</t>
        </is>
      </c>
      <c r="E257" t="inlineStr">
        <is>
          <t>Tools</t>
        </is>
      </c>
      <c r="F257">
        <f>IF(E257="Income","Revenue",IF(OR(E257="Materials",E257="Labor",E257="Dump Fees"),"COGS",IF(OR(E257="Fuel",E257="Insurance",E257="Tools",E257="Repairs"),"Expense","Non-Deductible")))</f>
        <v/>
      </c>
      <c r="G257" t="inlineStr">
        <is>
          <t>Expense</t>
        </is>
      </c>
      <c r="H257">
        <f>IF(G257&lt;&gt;F257,"YES","NO")</f>
        <v/>
      </c>
      <c r="I257" t="inlineStr"/>
      <c r="J257" t="inlineStr"/>
    </row>
    <row r="258">
      <c r="A258" s="5" t="n">
        <v>45817</v>
      </c>
      <c r="B258" t="inlineStr">
        <is>
          <t>Card Withdrawals - Debit Purchase - VISA On 060625 FREEBURG IL 8364641081</t>
        </is>
      </c>
      <c r="C258" t="n">
        <v>67.14</v>
      </c>
      <c r="D258" t="inlineStr">
        <is>
          <t>Debit</t>
        </is>
      </c>
      <c r="E258" t="inlineStr">
        <is>
          <t>Tools</t>
        </is>
      </c>
      <c r="F258">
        <f>IF(E258="Income","Revenue",IF(OR(E258="Materials",E258="Labor",E258="Dump Fees"),"COGS",IF(OR(E258="Fuel",E258="Insurance",E258="Tools",E258="Repairs"),"Expense","Non-Deductible")))</f>
        <v/>
      </c>
      <c r="G258" t="inlineStr">
        <is>
          <t>Expense</t>
        </is>
      </c>
      <c r="H258">
        <f>IF(G258&lt;&gt;F258,"YES","NO")</f>
        <v/>
      </c>
      <c r="I258" t="inlineStr"/>
      <c r="J258" t="inlineStr"/>
    </row>
    <row r="259">
      <c r="A259" s="5" t="n">
        <v>45817</v>
      </c>
      <c r="B259" t="inlineStr">
        <is>
          <t>Card Withdrawals - Debit Purchase CIRCLE K # 01361 BELLEVILLE IL</t>
        </is>
      </c>
      <c r="C259" t="n">
        <v>12.96</v>
      </c>
      <c r="D259" t="inlineStr">
        <is>
          <t>Debit</t>
        </is>
      </c>
      <c r="E259" t="inlineStr">
        <is>
          <t>Tools</t>
        </is>
      </c>
      <c r="F259">
        <f>IF(E259="Income","Revenue",IF(OR(E259="Materials",E259="Labor",E259="Dump Fees"),"COGS",IF(OR(E259="Fuel",E259="Insurance",E259="Tools",E259="Repairs"),"Expense","Non-Deductible")))</f>
        <v/>
      </c>
      <c r="G259" t="inlineStr">
        <is>
          <t>Expense</t>
        </is>
      </c>
      <c r="H259">
        <f>IF(G259&lt;&gt;F259,"YES","NO")</f>
        <v/>
      </c>
      <c r="I259" t="inlineStr"/>
      <c r="J259" t="inlineStr"/>
    </row>
    <row r="260">
      <c r="A260" s="5" t="n">
        <v>45817</v>
      </c>
      <c r="B260" t="inlineStr">
        <is>
          <t>Card Withdrawals - Debit Purchase verifyvend855-55 PROVIDENCE RI 5606061728</t>
        </is>
      </c>
      <c r="C260" t="n">
        <v>122</v>
      </c>
      <c r="D260" t="inlineStr">
        <is>
          <t>Debit</t>
        </is>
      </c>
      <c r="E260" t="inlineStr">
        <is>
          <t>Tools</t>
        </is>
      </c>
      <c r="F260">
        <f>IF(E260="Income","Revenue",IF(OR(E260="Materials",E260="Labor",E260="Dump Fees"),"COGS",IF(OR(E260="Fuel",E260="Insurance",E260="Tools",E260="Repairs"),"Expense","Non-Deductible")))</f>
        <v/>
      </c>
      <c r="G260" t="inlineStr">
        <is>
          <t>Expense</t>
        </is>
      </c>
      <c r="H260">
        <f>IF(G260&lt;&gt;F260,"YES","NO")</f>
        <v/>
      </c>
      <c r="I260" t="inlineStr"/>
      <c r="J260" t="inlineStr"/>
    </row>
    <row r="261">
      <c r="A261" s="5" t="n">
        <v>45817</v>
      </c>
      <c r="B261" t="inlineStr">
        <is>
          <t>Other Withdrawals - Electronic Withdrawal To CEFCU TEL DEBIT</t>
        </is>
      </c>
      <c r="C261" t="n">
        <v>1042.46</v>
      </c>
      <c r="D261" t="inlineStr">
        <is>
          <t>Debit</t>
        </is>
      </c>
      <c r="E261" t="inlineStr">
        <is>
          <t>Tools</t>
        </is>
      </c>
      <c r="F261">
        <f>IF(E261="Income","Revenue",IF(OR(E261="Materials",E261="Labor",E261="Dump Fees"),"COGS",IF(OR(E261="Fuel",E261="Insurance",E261="Tools",E261="Repairs"),"Expense","Non-Deductible")))</f>
        <v/>
      </c>
      <c r="G261" t="inlineStr">
        <is>
          <t>Expense</t>
        </is>
      </c>
      <c r="H261">
        <f>IF(G261&lt;&gt;F261,"YES","NO")</f>
        <v/>
      </c>
      <c r="I261" t="inlineStr"/>
      <c r="J261" t="inlineStr"/>
    </row>
    <row r="262">
      <c r="A262" s="5" t="n">
        <v>45817</v>
      </c>
      <c r="B262" t="inlineStr">
        <is>
          <t>Other Withdrawals - Electronic Withdrawal To MERCURY CARD FBT</t>
        </is>
      </c>
      <c r="C262" t="n">
        <v>1204.45</v>
      </c>
      <c r="D262" t="inlineStr">
        <is>
          <t>Debit</t>
        </is>
      </c>
      <c r="E262" t="inlineStr">
        <is>
          <t>Tools</t>
        </is>
      </c>
      <c r="F262">
        <f>IF(E262="Income","Revenue",IF(OR(E262="Materials",E262="Labor",E262="Dump Fees"),"COGS",IF(OR(E262="Fuel",E262="Insurance",E262="Tools",E262="Repairs"),"Expense","Non-Deductible")))</f>
        <v/>
      </c>
      <c r="G262" t="inlineStr">
        <is>
          <t>Expense</t>
        </is>
      </c>
      <c r="H262">
        <f>IF(G262&lt;&gt;F262,"YES","NO")</f>
        <v/>
      </c>
      <c r="I262" t="inlineStr"/>
      <c r="J262" t="inlineStr"/>
    </row>
    <row r="263">
      <c r="A263" s="5" t="n">
        <v>45817</v>
      </c>
      <c r="B263" t="inlineStr">
        <is>
          <t>Other Withdrawals - Zelle Instant PMT To Nadia Session</t>
        </is>
      </c>
      <c r="C263" t="n">
        <v>245</v>
      </c>
      <c r="D263" t="inlineStr">
        <is>
          <t>Debit</t>
        </is>
      </c>
      <c r="E263" t="inlineStr">
        <is>
          <t>Tools</t>
        </is>
      </c>
      <c r="F263">
        <f>IF(E263="Income","Revenue",IF(OR(E263="Materials",E263="Labor",E263="Dump Fees"),"COGS",IF(OR(E263="Fuel",E263="Insurance",E263="Tools",E263="Repairs"),"Expense","Non-Deductible")))</f>
        <v/>
      </c>
      <c r="G263" t="inlineStr">
        <is>
          <t>Expense</t>
        </is>
      </c>
      <c r="H263">
        <f>IF(G263&lt;&gt;F263,"YES","NO")</f>
        <v/>
      </c>
      <c r="I263" t="inlineStr"/>
      <c r="J263" t="inlineStr"/>
    </row>
    <row r="264">
      <c r="A264" s="5" t="n">
        <v>45818</v>
      </c>
      <c r="B264" t="inlineStr">
        <is>
          <t>Other Withdrawals - Mobile Banking Transfer To Account 152316874980</t>
        </is>
      </c>
      <c r="C264" t="n">
        <v>60</v>
      </c>
      <c r="D264" t="inlineStr">
        <is>
          <t>Debit</t>
        </is>
      </c>
      <c r="E264" t="inlineStr">
        <is>
          <t>Transfer</t>
        </is>
      </c>
      <c r="F264">
        <f>IF(E264="Income","Revenue",IF(OR(E264="Materials",E264="Labor",E264="Dump Fees"),"COGS",IF(OR(E264="Fuel",E264="Insurance",E264="Tools",E264="Repairs"),"Expense","Non-Deductible")))</f>
        <v/>
      </c>
      <c r="G264" t="inlineStr">
        <is>
          <t>Non-Deductible</t>
        </is>
      </c>
      <c r="H264">
        <f>IF(G264&lt;&gt;F264,"YES","NO")</f>
        <v/>
      </c>
      <c r="I264" t="inlineStr"/>
      <c r="J264" t="inlineStr"/>
    </row>
    <row r="265">
      <c r="A265" s="5" t="n">
        <v>45818</v>
      </c>
      <c r="B265" t="inlineStr">
        <is>
          <t>Other Withdrawals - Mobile Banking Transfer To Account 152316875235</t>
        </is>
      </c>
      <c r="C265" t="n">
        <v>200</v>
      </c>
      <c r="D265" t="inlineStr">
        <is>
          <t>Debit</t>
        </is>
      </c>
      <c r="E265" t="inlineStr">
        <is>
          <t>Transfer</t>
        </is>
      </c>
      <c r="F265">
        <f>IF(E265="Income","Revenue",IF(OR(E265="Materials",E265="Labor",E265="Dump Fees"),"COGS",IF(OR(E265="Fuel",E265="Insurance",E265="Tools",E265="Repairs"),"Expense","Non-Deductible")))</f>
        <v/>
      </c>
      <c r="G265" t="inlineStr">
        <is>
          <t>Non-Deductible</t>
        </is>
      </c>
      <c r="H265">
        <f>IF(G265&lt;&gt;F265,"YES","NO")</f>
        <v/>
      </c>
      <c r="I265" t="inlineStr"/>
      <c r="J265" t="inlineStr"/>
    </row>
    <row r="266">
      <c r="A266" s="5" t="n">
        <v>45820</v>
      </c>
      <c r="B266" t="inlineStr">
        <is>
          <t>Other Withdrawals - Electronic Withdrawal To BEST BUY</t>
        </is>
      </c>
      <c r="C266" t="n">
        <v>200</v>
      </c>
      <c r="D266" t="inlineStr">
        <is>
          <t>Debit</t>
        </is>
      </c>
      <c r="E266" t="inlineStr">
        <is>
          <t>Tools</t>
        </is>
      </c>
      <c r="F266">
        <f>IF(E266="Income","Revenue",IF(OR(E266="Materials",E266="Labor",E266="Dump Fees"),"COGS",IF(OR(E266="Fuel",E266="Insurance",E266="Tools",E266="Repairs"),"Expense","Non-Deductible")))</f>
        <v/>
      </c>
      <c r="G266" t="inlineStr">
        <is>
          <t>Expense</t>
        </is>
      </c>
      <c r="H266">
        <f>IF(G266&lt;&gt;F266,"YES","NO")</f>
        <v/>
      </c>
      <c r="I266" t="inlineStr"/>
      <c r="J266" t="inlineStr"/>
    </row>
    <row r="267">
      <c r="A267" s="5" t="n">
        <v>45821</v>
      </c>
      <c r="B267" t="inlineStr">
        <is>
          <t>Card Withdrawals - Debit Purchase CIRCLE K # 01461 BELLEVILLE IL</t>
        </is>
      </c>
      <c r="C267" t="n">
        <v>100</v>
      </c>
      <c r="D267" t="inlineStr">
        <is>
          <t>Debit</t>
        </is>
      </c>
      <c r="E267" t="inlineStr">
        <is>
          <t>Tools</t>
        </is>
      </c>
      <c r="F267">
        <f>IF(E267="Income","Revenue",IF(OR(E267="Materials",E267="Labor",E267="Dump Fees"),"COGS",IF(OR(E267="Fuel",E267="Insurance",E267="Tools",E267="Repairs"),"Expense","Non-Deductible")))</f>
        <v/>
      </c>
      <c r="G267" t="inlineStr">
        <is>
          <t>Expense</t>
        </is>
      </c>
      <c r="H267">
        <f>IF(G267&lt;&gt;F267,"YES","NO")</f>
        <v/>
      </c>
      <c r="I267" t="inlineStr"/>
      <c r="J267" t="inlineStr"/>
    </row>
    <row r="268">
      <c r="A268" s="5" t="n">
        <v>45824</v>
      </c>
      <c r="B268" t="inlineStr">
        <is>
          <t>Card Withdrawals - Debit Purchase - VISA On 061425 CARBONDALE IL 6001068534</t>
        </is>
      </c>
      <c r="C268" t="n">
        <v>416.83</v>
      </c>
      <c r="D268" t="inlineStr">
        <is>
          <t>Debit</t>
        </is>
      </c>
      <c r="E268" t="inlineStr">
        <is>
          <t>Tools</t>
        </is>
      </c>
      <c r="F268">
        <f>IF(E268="Income","Revenue",IF(OR(E268="Materials",E268="Labor",E268="Dump Fees"),"COGS",IF(OR(E268="Fuel",E268="Insurance",E268="Tools",E268="Repairs"),"Expense","Non-Deductible")))</f>
        <v/>
      </c>
      <c r="G268" t="inlineStr">
        <is>
          <t>Expense</t>
        </is>
      </c>
      <c r="H268">
        <f>IF(G268&lt;&gt;F268,"YES","NO")</f>
        <v/>
      </c>
      <c r="I268" t="inlineStr"/>
      <c r="J268" t="inlineStr"/>
    </row>
    <row r="269">
      <c r="A269" s="5" t="n">
        <v>45824</v>
      </c>
      <c r="B269" t="inlineStr">
        <is>
          <t>Card Withdrawals - Debit Purchase verifyvend855-55 PROVIDENCE RI 8606131800</t>
        </is>
      </c>
      <c r="C269" t="n">
        <v>202</v>
      </c>
      <c r="D269" t="inlineStr">
        <is>
          <t>Debit</t>
        </is>
      </c>
      <c r="E269" t="inlineStr">
        <is>
          <t>Tools</t>
        </is>
      </c>
      <c r="F269">
        <f>IF(E269="Income","Revenue",IF(OR(E269="Materials",E269="Labor",E269="Dump Fees"),"COGS",IF(OR(E269="Fuel",E269="Insurance",E269="Tools",E269="Repairs"),"Expense","Non-Deductible")))</f>
        <v/>
      </c>
      <c r="G269" t="inlineStr">
        <is>
          <t>Expense</t>
        </is>
      </c>
      <c r="H269">
        <f>IF(G269&lt;&gt;F269,"YES","NO")</f>
        <v/>
      </c>
      <c r="I269" t="inlineStr"/>
      <c r="J269" t="inlineStr"/>
    </row>
    <row r="270">
      <c r="A270" s="5" t="n">
        <v>45824</v>
      </c>
      <c r="B270" t="inlineStr">
        <is>
          <t>Other Withdrawals - Electronic Withdrawal To DISCOVER</t>
        </is>
      </c>
      <c r="C270" t="n">
        <v>1000</v>
      </c>
      <c r="D270" t="inlineStr">
        <is>
          <t>Debit</t>
        </is>
      </c>
      <c r="E270" t="inlineStr">
        <is>
          <t>Tools</t>
        </is>
      </c>
      <c r="F270">
        <f>IF(E270="Income","Revenue",IF(OR(E270="Materials",E270="Labor",E270="Dump Fees"),"COGS",IF(OR(E270="Fuel",E270="Insurance",E270="Tools",E270="Repairs"),"Expense","Non-Deductible")))</f>
        <v/>
      </c>
      <c r="G270" t="inlineStr">
        <is>
          <t>Expense</t>
        </is>
      </c>
      <c r="H270">
        <f>IF(G270&lt;&gt;F270,"YES","NO")</f>
        <v/>
      </c>
      <c r="I270" t="inlineStr"/>
      <c r="J270" t="inlineStr"/>
    </row>
    <row r="271">
      <c r="A271" s="5" t="n">
        <v>45825</v>
      </c>
      <c r="B271" t="inlineStr">
        <is>
          <t>Card Withdrawals - Debit Purchase - VISA On 061525 618-9930015 IL 7900011307</t>
        </is>
      </c>
      <c r="C271" t="n">
        <v>121.52</v>
      </c>
      <c r="D271" t="inlineStr">
        <is>
          <t>Debit</t>
        </is>
      </c>
      <c r="E271" t="inlineStr">
        <is>
          <t>Tools</t>
        </is>
      </c>
      <c r="F271">
        <f>IF(E271="Income","Revenue",IF(OR(E271="Materials",E271="Labor",E271="Dump Fees"),"COGS",IF(OR(E271="Fuel",E271="Insurance",E271="Tools",E271="Repairs"),"Expense","Non-Deductible")))</f>
        <v/>
      </c>
      <c r="G271" t="inlineStr">
        <is>
          <t>Expense</t>
        </is>
      </c>
      <c r="H271">
        <f>IF(G271&lt;&gt;F271,"YES","NO")</f>
        <v/>
      </c>
      <c r="I271" t="inlineStr"/>
      <c r="J271" t="inlineStr"/>
    </row>
    <row r="272">
      <c r="A272" s="5" t="n">
        <v>45825</v>
      </c>
      <c r="B272" t="inlineStr">
        <is>
          <t>Card Withdrawals - Debit Purchase - VISA On 061525 CARTERVILLE IL 7710013407</t>
        </is>
      </c>
      <c r="C272" t="n">
        <v>93</v>
      </c>
      <c r="D272" t="inlineStr">
        <is>
          <t>Debit</t>
        </is>
      </c>
      <c r="E272" t="inlineStr">
        <is>
          <t>Tools</t>
        </is>
      </c>
      <c r="F272">
        <f>IF(E272="Income","Revenue",IF(OR(E272="Materials",E272="Labor",E272="Dump Fees"),"COGS",IF(OR(E272="Fuel",E272="Insurance",E272="Tools",E272="Repairs"),"Expense","Non-Deductible")))</f>
        <v/>
      </c>
      <c r="G272" t="inlineStr">
        <is>
          <t>Expense</t>
        </is>
      </c>
      <c r="H272">
        <f>IF(G272&lt;&gt;F272,"YES","NO")</f>
        <v/>
      </c>
      <c r="I272" t="inlineStr"/>
      <c r="J272" t="inlineStr"/>
    </row>
    <row r="273">
      <c r="A273" s="5" t="n">
        <v>45826</v>
      </c>
      <c r="B273" t="inlineStr">
        <is>
          <t>Other Withdrawals - Electronic Withdrawal To MIDLAND MTG</t>
        </is>
      </c>
      <c r="C273" t="n">
        <v>964.5599999999999</v>
      </c>
      <c r="D273" t="inlineStr">
        <is>
          <t>Debit</t>
        </is>
      </c>
      <c r="E273" t="inlineStr">
        <is>
          <t>Tools</t>
        </is>
      </c>
      <c r="F273">
        <f>IF(E273="Income","Revenue",IF(OR(E273="Materials",E273="Labor",E273="Dump Fees"),"COGS",IF(OR(E273="Fuel",E273="Insurance",E273="Tools",E273="Repairs"),"Expense","Non-Deductible")))</f>
        <v/>
      </c>
      <c r="G273" t="inlineStr">
        <is>
          <t>Expense</t>
        </is>
      </c>
      <c r="H273">
        <f>IF(G273&lt;&gt;F273,"YES","NO")</f>
        <v/>
      </c>
      <c r="I273" t="inlineStr"/>
      <c r="J273" t="inlineStr"/>
    </row>
    <row r="274">
      <c r="A274" s="5" t="n">
        <v>45828</v>
      </c>
      <c r="B274" t="inlineStr">
        <is>
          <t>Card Withdrawals - Debit Purchase - VISA On 061825 freeburg IL 9102480727</t>
        </is>
      </c>
      <c r="C274" t="n">
        <v>9.67</v>
      </c>
      <c r="D274" t="inlineStr">
        <is>
          <t>Debit</t>
        </is>
      </c>
      <c r="E274" t="inlineStr">
        <is>
          <t>Tools</t>
        </is>
      </c>
      <c r="F274">
        <f>IF(E274="Income","Revenue",IF(OR(E274="Materials",E274="Labor",E274="Dump Fees"),"COGS",IF(OR(E274="Fuel",E274="Insurance",E274="Tools",E274="Repairs"),"Expense","Non-Deductible")))</f>
        <v/>
      </c>
      <c r="G274" t="inlineStr">
        <is>
          <t>Expense</t>
        </is>
      </c>
      <c r="H274">
        <f>IF(G274&lt;&gt;F274,"YES","NO")</f>
        <v/>
      </c>
      <c r="I274" t="inlineStr"/>
      <c r="J274" t="inlineStr"/>
    </row>
    <row r="275">
      <c r="A275" s="5" t="n">
        <v>45828</v>
      </c>
      <c r="B275" t="inlineStr">
        <is>
          <t>Card Withdrawals - Debit Purchase CIRCLE K # 01345 CASEYVILLE IL</t>
        </is>
      </c>
      <c r="C275" t="n">
        <v>92.34</v>
      </c>
      <c r="D275" t="inlineStr">
        <is>
          <t>Debit</t>
        </is>
      </c>
      <c r="E275" t="inlineStr">
        <is>
          <t>Labor</t>
        </is>
      </c>
      <c r="F275">
        <f>IF(E275="Income","Revenue",IF(OR(E275="Materials",E275="Labor",E275="Dump Fees"),"COGS",IF(OR(E275="Fuel",E275="Insurance",E275="Tools",E275="Repairs"),"Expense","Non-Deductible")))</f>
        <v/>
      </c>
      <c r="G275" t="inlineStr">
        <is>
          <t>COGS</t>
        </is>
      </c>
      <c r="H275">
        <f>IF(G275&lt;&gt;F275,"YES","NO")</f>
        <v/>
      </c>
      <c r="I275" t="inlineStr"/>
      <c r="J275" t="inlineStr">
        <is>
          <t>Casey</t>
        </is>
      </c>
    </row>
    <row r="276">
      <c r="A276" s="5" t="n">
        <v>45828</v>
      </c>
      <c r="B276" t="inlineStr">
        <is>
          <t>Other Withdrawals - Electronic Withdrawal To CATHOLIC CCU</t>
        </is>
      </c>
      <c r="C276" t="n">
        <v>574.5</v>
      </c>
      <c r="D276" t="inlineStr">
        <is>
          <t>Debit</t>
        </is>
      </c>
      <c r="E276" t="inlineStr">
        <is>
          <t>Tools</t>
        </is>
      </c>
      <c r="F276">
        <f>IF(E276="Income","Revenue",IF(OR(E276="Materials",E276="Labor",E276="Dump Fees"),"COGS",IF(OR(E276="Fuel",E276="Insurance",E276="Tools",E276="Repairs"),"Expense","Non-Deductible")))</f>
        <v/>
      </c>
      <c r="G276" t="inlineStr">
        <is>
          <t>Expense</t>
        </is>
      </c>
      <c r="H276">
        <f>IF(G276&lt;&gt;F276,"YES","NO")</f>
        <v/>
      </c>
      <c r="I276" t="inlineStr"/>
      <c r="J276" t="inlineStr"/>
    </row>
    <row r="277">
      <c r="A277" s="5" t="n">
        <v>45828</v>
      </c>
      <c r="B277" t="inlineStr">
        <is>
          <t>Other Withdrawals - Mobile Banking Transfer To Account 152316875235</t>
        </is>
      </c>
      <c r="C277" t="n">
        <v>100</v>
      </c>
      <c r="D277" t="inlineStr">
        <is>
          <t>Debit</t>
        </is>
      </c>
      <c r="E277" t="inlineStr">
        <is>
          <t>Transfer</t>
        </is>
      </c>
      <c r="F277">
        <f>IF(E277="Income","Revenue",IF(OR(E277="Materials",E277="Labor",E277="Dump Fees"),"COGS",IF(OR(E277="Fuel",E277="Insurance",E277="Tools",E277="Repairs"),"Expense","Non-Deductible")))</f>
        <v/>
      </c>
      <c r="G277" t="inlineStr">
        <is>
          <t>Non-Deductible</t>
        </is>
      </c>
      <c r="H277">
        <f>IF(G277&lt;&gt;F277,"YES","NO")</f>
        <v/>
      </c>
      <c r="I277" t="inlineStr"/>
      <c r="J277" t="inlineStr"/>
    </row>
    <row r="278">
      <c r="A278" s="5" t="n">
        <v>45828</v>
      </c>
      <c r="B278" t="inlineStr">
        <is>
          <t>Other Withdrawals - Mobile Banking Transfer To Account 152316875235</t>
        </is>
      </c>
      <c r="C278" t="n">
        <v>250</v>
      </c>
      <c r="D278" t="inlineStr">
        <is>
          <t>Debit</t>
        </is>
      </c>
      <c r="E278" t="inlineStr">
        <is>
          <t>Transfer</t>
        </is>
      </c>
      <c r="F278">
        <f>IF(E278="Income","Revenue",IF(OR(E278="Materials",E278="Labor",E278="Dump Fees"),"COGS",IF(OR(E278="Fuel",E278="Insurance",E278="Tools",E278="Repairs"),"Expense","Non-Deductible")))</f>
        <v/>
      </c>
      <c r="G278" t="inlineStr">
        <is>
          <t>Non-Deductible</t>
        </is>
      </c>
      <c r="H278">
        <f>IF(G278&lt;&gt;F278,"YES","NO")</f>
        <v/>
      </c>
      <c r="I278" t="inlineStr"/>
      <c r="J278" t="inlineStr"/>
    </row>
    <row r="279">
      <c r="A279" s="5" t="n">
        <v>45828</v>
      </c>
      <c r="B279" t="inlineStr">
        <is>
          <t>Other Withdrawals - Mobile Banking Transfer To Account 152316875235</t>
        </is>
      </c>
      <c r="C279" t="n">
        <v>1000</v>
      </c>
      <c r="D279" t="inlineStr">
        <is>
          <t>Debit</t>
        </is>
      </c>
      <c r="E279" t="inlineStr">
        <is>
          <t>Transfer</t>
        </is>
      </c>
      <c r="F279">
        <f>IF(E279="Income","Revenue",IF(OR(E279="Materials",E279="Labor",E279="Dump Fees"),"COGS",IF(OR(E279="Fuel",E279="Insurance",E279="Tools",E279="Repairs"),"Expense","Non-Deductible")))</f>
        <v/>
      </c>
      <c r="G279" t="inlineStr">
        <is>
          <t>Non-Deductible</t>
        </is>
      </c>
      <c r="H279">
        <f>IF(G279&lt;&gt;F279,"YES","NO")</f>
        <v/>
      </c>
      <c r="I279" t="inlineStr"/>
      <c r="J279" t="inlineStr"/>
    </row>
    <row r="280">
      <c r="A280" s="5" t="n">
        <v>45831</v>
      </c>
      <c r="B280" t="inlineStr">
        <is>
          <t>Card Withdrawals - ATM Withdrawal 201 E MAIN ST CARBONDALE IL</t>
        </is>
      </c>
      <c r="C280" t="n">
        <v>33</v>
      </c>
      <c r="D280" t="inlineStr">
        <is>
          <t>Debit</t>
        </is>
      </c>
      <c r="E280" t="inlineStr">
        <is>
          <t>Tools</t>
        </is>
      </c>
      <c r="F280">
        <f>IF(E280="Income","Revenue",IF(OR(E280="Materials",E280="Labor",E280="Dump Fees"),"COGS",IF(OR(E280="Fuel",E280="Insurance",E280="Tools",E280="Repairs"),"Expense","Non-Deductible")))</f>
        <v/>
      </c>
      <c r="G280" t="inlineStr">
        <is>
          <t>Expense</t>
        </is>
      </c>
      <c r="H280">
        <f>IF(G280&lt;&gt;F280,"YES","NO")</f>
        <v/>
      </c>
      <c r="I280" t="inlineStr"/>
      <c r="J280" t="inlineStr"/>
    </row>
    <row r="281">
      <c r="A281" s="5" t="n">
        <v>45831</v>
      </c>
      <c r="B281" t="inlineStr">
        <is>
          <t>Card Withdrawals - ATM Withdrawal 943 N MAIN ST MARISSA IL</t>
        </is>
      </c>
      <c r="C281" t="n">
        <v>43.25</v>
      </c>
      <c r="D281" t="inlineStr">
        <is>
          <t>Debit</t>
        </is>
      </c>
      <c r="E281" t="inlineStr">
        <is>
          <t>Tools</t>
        </is>
      </c>
      <c r="F281">
        <f>IF(E281="Income","Revenue",IF(OR(E281="Materials",E281="Labor",E281="Dump Fees"),"COGS",IF(OR(E281="Fuel",E281="Insurance",E281="Tools",E281="Repairs"),"Expense","Non-Deductible")))</f>
        <v/>
      </c>
      <c r="G281" t="inlineStr">
        <is>
          <t>Expense</t>
        </is>
      </c>
      <c r="H281">
        <f>IF(G281&lt;&gt;F281,"YES","NO")</f>
        <v/>
      </c>
      <c r="I281" t="inlineStr"/>
      <c r="J281" t="inlineStr"/>
    </row>
    <row r="282">
      <c r="A282" s="5" t="n">
        <v>45831</v>
      </c>
      <c r="B282" t="inlineStr">
        <is>
          <t>Card Withdrawals - Debit Purchase - VISA On 062025 Freeburg IL 1101420999</t>
        </is>
      </c>
      <c r="C282" t="n">
        <v>72</v>
      </c>
      <c r="D282" t="inlineStr">
        <is>
          <t>Debit</t>
        </is>
      </c>
      <c r="E282" t="inlineStr">
        <is>
          <t>Tools</t>
        </is>
      </c>
      <c r="F282">
        <f>IF(E282="Income","Revenue",IF(OR(E282="Materials",E282="Labor",E282="Dump Fees"),"COGS",IF(OR(E282="Fuel",E282="Insurance",E282="Tools",E282="Repairs"),"Expense","Non-Deductible")))</f>
        <v/>
      </c>
      <c r="G282" t="inlineStr">
        <is>
          <t>Expense</t>
        </is>
      </c>
      <c r="H282">
        <f>IF(G282&lt;&gt;F282,"YES","NO")</f>
        <v/>
      </c>
      <c r="I282" t="inlineStr"/>
      <c r="J282" t="inlineStr"/>
    </row>
    <row r="283">
      <c r="A283" s="5" t="n">
        <v>45831</v>
      </c>
      <c r="B283" t="inlineStr">
        <is>
          <t>Card Withdrawals - Debit Purchase - VISA On 062125 COULTERVILLE IL 3900018932</t>
        </is>
      </c>
      <c r="C283" t="n">
        <v>76.52</v>
      </c>
      <c r="D283" t="inlineStr">
        <is>
          <t>Debit</t>
        </is>
      </c>
      <c r="E283" t="inlineStr">
        <is>
          <t>Tools</t>
        </is>
      </c>
      <c r="F283">
        <f>IF(E283="Income","Revenue",IF(OR(E283="Materials",E283="Labor",E283="Dump Fees"),"COGS",IF(OR(E283="Fuel",E283="Insurance",E283="Tools",E283="Repairs"),"Expense","Non-Deductible")))</f>
        <v/>
      </c>
      <c r="G283" t="inlineStr">
        <is>
          <t>Expense</t>
        </is>
      </c>
      <c r="H283">
        <f>IF(G283&lt;&gt;F283,"YES","NO")</f>
        <v/>
      </c>
      <c r="I283" t="inlineStr"/>
      <c r="J283" t="inlineStr"/>
    </row>
    <row r="284">
      <c r="A284" s="5" t="n">
        <v>45831</v>
      </c>
      <c r="B284" t="inlineStr">
        <is>
          <t>Card Withdrawals - Fee ATM Withdrawal At Other Network 2300000486 $</t>
        </is>
      </c>
      <c r="C284" t="n">
        <v>3</v>
      </c>
      <c r="D284" t="inlineStr">
        <is>
          <t>Debit</t>
        </is>
      </c>
      <c r="E284" t="inlineStr">
        <is>
          <t>Tools</t>
        </is>
      </c>
      <c r="F284">
        <f>IF(E284="Income","Revenue",IF(OR(E284="Materials",E284="Labor",E284="Dump Fees"),"COGS",IF(OR(E284="Fuel",E284="Insurance",E284="Tools",E284="Repairs"),"Expense","Non-Deductible")))</f>
        <v/>
      </c>
      <c r="G284" t="inlineStr">
        <is>
          <t>Expense</t>
        </is>
      </c>
      <c r="H284">
        <f>IF(G284&lt;&gt;F284,"YES","NO")</f>
        <v/>
      </c>
      <c r="I284" t="inlineStr"/>
      <c r="J284" t="inlineStr"/>
    </row>
    <row r="285">
      <c r="A285" s="5" t="n">
        <v>45831</v>
      </c>
      <c r="B285" t="inlineStr">
        <is>
          <t>Card Withdrawals - Fee ATM Withdrawal At Other Network 2300000487</t>
        </is>
      </c>
      <c r="C285" t="n">
        <v>3</v>
      </c>
      <c r="D285" t="inlineStr">
        <is>
          <t>Debit</t>
        </is>
      </c>
      <c r="E285" t="inlineStr">
        <is>
          <t>Tools</t>
        </is>
      </c>
      <c r="F285">
        <f>IF(E285="Income","Revenue",IF(OR(E285="Materials",E285="Labor",E285="Dump Fees"),"COGS",IF(OR(E285="Fuel",E285="Insurance",E285="Tools",E285="Repairs"),"Expense","Non-Deductible")))</f>
        <v/>
      </c>
      <c r="G285" t="inlineStr">
        <is>
          <t>Expense</t>
        </is>
      </c>
      <c r="H285">
        <f>IF(G285&lt;&gt;F285,"YES","NO")</f>
        <v/>
      </c>
      <c r="I285" t="inlineStr"/>
      <c r="J285" t="inlineStr"/>
    </row>
    <row r="286">
      <c r="A286" s="5" t="n">
        <v>45831</v>
      </c>
      <c r="B286" t="inlineStr">
        <is>
          <t>Other Withdrawals - Customer Withdrawal 8014668858</t>
        </is>
      </c>
      <c r="C286" t="n">
        <v>300</v>
      </c>
      <c r="D286" t="inlineStr">
        <is>
          <t>Debit</t>
        </is>
      </c>
      <c r="E286" t="inlineStr">
        <is>
          <t>Tools</t>
        </is>
      </c>
      <c r="F286">
        <f>IF(E286="Income","Revenue",IF(OR(E286="Materials",E286="Labor",E286="Dump Fees"),"COGS",IF(OR(E286="Fuel",E286="Insurance",E286="Tools",E286="Repairs"),"Expense","Non-Deductible")))</f>
        <v/>
      </c>
      <c r="G286" t="inlineStr">
        <is>
          <t>Expense</t>
        </is>
      </c>
      <c r="H286">
        <f>IF(G286&lt;&gt;F286,"YES","NO")</f>
        <v/>
      </c>
      <c r="I286" t="inlineStr"/>
      <c r="J286" t="inlineStr"/>
    </row>
    <row r="287">
      <c r="A287" s="5" t="n">
        <v>45833</v>
      </c>
      <c r="B287" t="inlineStr">
        <is>
          <t>Card Withdrawals - Debit Purchase BP#1735700ARENA BELLEVILLE IL</t>
        </is>
      </c>
      <c r="C287" t="n">
        <v>99.09</v>
      </c>
      <c r="D287" t="inlineStr">
        <is>
          <t>Debit</t>
        </is>
      </c>
      <c r="E287" t="inlineStr">
        <is>
          <t>Tools</t>
        </is>
      </c>
      <c r="F287">
        <f>IF(E287="Income","Revenue",IF(OR(E287="Materials",E287="Labor",E287="Dump Fees"),"COGS",IF(OR(E287="Fuel",E287="Insurance",E287="Tools",E287="Repairs"),"Expense","Non-Deductible")))</f>
        <v/>
      </c>
      <c r="G287" t="inlineStr">
        <is>
          <t>Expense</t>
        </is>
      </c>
      <c r="H287">
        <f>IF(G287&lt;&gt;F287,"YES","NO")</f>
        <v/>
      </c>
      <c r="I287" t="inlineStr"/>
      <c r="J287" t="inlineStr"/>
    </row>
    <row r="288">
      <c r="A288" s="5" t="n">
        <v>45833</v>
      </c>
      <c r="B288" t="inlineStr">
        <is>
          <t>Card Withdrawals - Debit Purchase CIRCLE K # 01347 BELLEVILLE IL</t>
        </is>
      </c>
      <c r="C288" t="n">
        <v>0.27</v>
      </c>
      <c r="D288" t="inlineStr">
        <is>
          <t>Debit</t>
        </is>
      </c>
      <c r="E288" t="inlineStr">
        <is>
          <t>Tools</t>
        </is>
      </c>
      <c r="F288">
        <f>IF(E288="Income","Revenue",IF(OR(E288="Materials",E288="Labor",E288="Dump Fees"),"COGS",IF(OR(E288="Fuel",E288="Insurance",E288="Tools",E288="Repairs"),"Expense","Non-Deductible")))</f>
        <v/>
      </c>
      <c r="G288" t="inlineStr">
        <is>
          <t>Expense</t>
        </is>
      </c>
      <c r="H288">
        <f>IF(G288&lt;&gt;F288,"YES","NO")</f>
        <v/>
      </c>
      <c r="I288" t="inlineStr"/>
      <c r="J288" t="inlineStr"/>
    </row>
    <row r="289">
      <c r="A289" s="5" t="n">
        <v>45833</v>
      </c>
      <c r="B289" t="inlineStr">
        <is>
          <t>Other Deposits - Mobile Banking Transfer From Account 152316874980</t>
        </is>
      </c>
      <c r="C289" t="n">
        <v>275</v>
      </c>
      <c r="D289" t="inlineStr">
        <is>
          <t>Credit</t>
        </is>
      </c>
      <c r="E289" t="inlineStr">
        <is>
          <t>Transfer</t>
        </is>
      </c>
      <c r="F289">
        <f>IF(E289="Income","Revenue",IF(OR(E289="Materials",E289="Labor",E289="Dump Fees"),"COGS",IF(OR(E289="Fuel",E289="Insurance",E289="Tools",E289="Repairs"),"Expense","Non-Deductible")))</f>
        <v/>
      </c>
      <c r="G289" t="inlineStr">
        <is>
          <t>Non-Deductible</t>
        </is>
      </c>
      <c r="H289">
        <f>IF(G289&lt;&gt;F289,"YES","NO")</f>
        <v/>
      </c>
      <c r="I289" t="inlineStr"/>
      <c r="J289" t="inlineStr"/>
    </row>
    <row r="290">
      <c r="A290" s="5" t="n">
        <v>45833</v>
      </c>
      <c r="B290" t="inlineStr">
        <is>
          <t>Other Deposits - Mobile Check Deposit 8612808536</t>
        </is>
      </c>
      <c r="C290" t="n">
        <v>200</v>
      </c>
      <c r="D290" t="inlineStr">
        <is>
          <t>Credit</t>
        </is>
      </c>
      <c r="E290" t="inlineStr">
        <is>
          <t>Income</t>
        </is>
      </c>
      <c r="F290">
        <f>IF(E290="Income","Revenue",IF(OR(E290="Materials",E290="Labor",E290="Dump Fees"),"COGS",IF(OR(E290="Fuel",E290="Insurance",E290="Tools",E290="Repairs"),"Expense","Non-Deductible")))</f>
        <v/>
      </c>
      <c r="G290" t="inlineStr">
        <is>
          <t>Revenue</t>
        </is>
      </c>
      <c r="H290">
        <f>IF(G290&lt;&gt;F290,"YES","NO")</f>
        <v/>
      </c>
      <c r="I290" t="inlineStr"/>
      <c r="J290" t="inlineStr"/>
    </row>
    <row r="291">
      <c r="A291" s="5" t="n">
        <v>45834</v>
      </c>
      <c r="B291" t="inlineStr">
        <is>
          <t>Card Withdrawals - Debit Purchase - VISA On 062525 BELLEVILLE IL 6385642499</t>
        </is>
      </c>
      <c r="C291" t="n">
        <v>20.65</v>
      </c>
      <c r="D291" t="inlineStr">
        <is>
          <t>Debit</t>
        </is>
      </c>
      <c r="E291" t="inlineStr">
        <is>
          <t>Tools</t>
        </is>
      </c>
      <c r="F291">
        <f>IF(E291="Income","Revenue",IF(OR(E291="Materials",E291="Labor",E291="Dump Fees"),"COGS",IF(OR(E291="Fuel",E291="Insurance",E291="Tools",E291="Repairs"),"Expense","Non-Deductible")))</f>
        <v/>
      </c>
      <c r="G291" t="inlineStr">
        <is>
          <t>Expense</t>
        </is>
      </c>
      <c r="H291">
        <f>IF(G291&lt;&gt;F291,"YES","NO")</f>
        <v/>
      </c>
      <c r="I291" t="inlineStr"/>
      <c r="J291" t="inlineStr"/>
    </row>
    <row r="292">
      <c r="A292" s="5" t="n">
        <v>45834</v>
      </c>
      <c r="B292" t="inlineStr">
        <is>
          <t>Card Withdrawals - Recurring Debit Purchase On 062425 800-288-2020 TX 7106069140</t>
        </is>
      </c>
      <c r="C292" t="n">
        <v>124.67</v>
      </c>
      <c r="D292" t="inlineStr">
        <is>
          <t>Debit</t>
        </is>
      </c>
      <c r="E292" t="inlineStr">
        <is>
          <t>Tools</t>
        </is>
      </c>
      <c r="F292">
        <f>IF(E292="Income","Revenue",IF(OR(E292="Materials",E292="Labor",E292="Dump Fees"),"COGS",IF(OR(E292="Fuel",E292="Insurance",E292="Tools",E292="Repairs"),"Expense","Non-Deductible")))</f>
        <v/>
      </c>
      <c r="G292" t="inlineStr">
        <is>
          <t>Expense</t>
        </is>
      </c>
      <c r="H292">
        <f>IF(G292&lt;&gt;F292,"YES","NO")</f>
        <v/>
      </c>
      <c r="I292" t="inlineStr"/>
      <c r="J292" t="inlineStr"/>
    </row>
    <row r="293">
      <c r="A293" s="5" t="n">
        <v>45834</v>
      </c>
      <c r="B293" t="inlineStr">
        <is>
          <t>Card Withdrawals - Recurring Debit Purchase On 062525 888-270-2644 IN 7106113836</t>
        </is>
      </c>
      <c r="C293" t="n">
        <v>817.5</v>
      </c>
      <c r="D293" t="inlineStr">
        <is>
          <t>Debit</t>
        </is>
      </c>
      <c r="E293" t="inlineStr">
        <is>
          <t>Tools</t>
        </is>
      </c>
      <c r="F293">
        <f>IF(E293="Income","Revenue",IF(OR(E293="Materials",E293="Labor",E293="Dump Fees"),"COGS",IF(OR(E293="Fuel",E293="Insurance",E293="Tools",E293="Repairs"),"Expense","Non-Deductible")))</f>
        <v/>
      </c>
      <c r="G293" t="inlineStr">
        <is>
          <t>Expense</t>
        </is>
      </c>
      <c r="H293">
        <f>IF(G293&lt;&gt;F293,"YES","NO")</f>
        <v/>
      </c>
      <c r="I293" t="inlineStr"/>
      <c r="J293" t="inlineStr"/>
    </row>
    <row r="294">
      <c r="A294" s="5" t="n">
        <v>45834</v>
      </c>
      <c r="B294" t="inlineStr">
        <is>
          <t>Other Deposits - Mobile Banking Transfer From Account 152316874980</t>
        </is>
      </c>
      <c r="C294" t="n">
        <v>480</v>
      </c>
      <c r="D294" t="inlineStr">
        <is>
          <t>Credit</t>
        </is>
      </c>
      <c r="E294" t="inlineStr">
        <is>
          <t>Transfer</t>
        </is>
      </c>
      <c r="F294">
        <f>IF(E294="Income","Revenue",IF(OR(E294="Materials",E294="Labor",E294="Dump Fees"),"COGS",IF(OR(E294="Fuel",E294="Insurance",E294="Tools",E294="Repairs"),"Expense","Non-Deductible")))</f>
        <v/>
      </c>
      <c r="G294" t="inlineStr">
        <is>
          <t>Non-Deductible</t>
        </is>
      </c>
      <c r="H294">
        <f>IF(G294&lt;&gt;F294,"YES","NO")</f>
        <v/>
      </c>
      <c r="I294" t="inlineStr"/>
      <c r="J294" t="inlineStr"/>
    </row>
    <row r="295">
      <c r="A295" s="5" t="n">
        <v>45834</v>
      </c>
      <c r="B295" t="inlineStr">
        <is>
          <t>Other Deposits - Mobile Check Deposit 8913423413</t>
        </is>
      </c>
      <c r="C295" t="n">
        <v>4500</v>
      </c>
      <c r="D295" t="inlineStr">
        <is>
          <t>Credit</t>
        </is>
      </c>
      <c r="E295" t="inlineStr">
        <is>
          <t>Income</t>
        </is>
      </c>
      <c r="F295">
        <f>IF(E295="Income","Revenue",IF(OR(E295="Materials",E295="Labor",E295="Dump Fees"),"COGS",IF(OR(E295="Fuel",E295="Insurance",E295="Tools",E295="Repairs"),"Expense","Non-Deductible")))</f>
        <v/>
      </c>
      <c r="G295" t="inlineStr">
        <is>
          <t>Revenue</t>
        </is>
      </c>
      <c r="H295">
        <f>IF(G295&lt;&gt;F295,"YES","NO")</f>
        <v/>
      </c>
      <c r="I295" t="inlineStr"/>
      <c r="J295" t="inlineStr"/>
    </row>
    <row r="296">
      <c r="A296" s="5" t="n">
        <v>45835</v>
      </c>
      <c r="B296" t="inlineStr">
        <is>
          <t>Card Withdrawals - Debit Purchase - VISA On 062625 BELLEVILLE IL 7005291363</t>
        </is>
      </c>
      <c r="C296" t="n">
        <v>35.32</v>
      </c>
      <c r="D296" t="inlineStr">
        <is>
          <t>Debit</t>
        </is>
      </c>
      <c r="E296" t="inlineStr">
        <is>
          <t>Tools</t>
        </is>
      </c>
      <c r="F296">
        <f>IF(E296="Income","Revenue",IF(OR(E296="Materials",E296="Labor",E296="Dump Fees"),"COGS",IF(OR(E296="Fuel",E296="Insurance",E296="Tools",E296="Repairs"),"Expense","Non-Deductible")))</f>
        <v/>
      </c>
      <c r="G296" t="inlineStr">
        <is>
          <t>Expense</t>
        </is>
      </c>
      <c r="H296">
        <f>IF(G296&lt;&gt;F296,"YES","NO")</f>
        <v/>
      </c>
      <c r="I296" t="inlineStr"/>
      <c r="J296" t="inlineStr"/>
    </row>
    <row r="297">
      <c r="A297" s="5" t="n">
        <v>45835</v>
      </c>
      <c r="B297" t="inlineStr">
        <is>
          <t>Other Withdrawals - Mobile Banking Transfer To Account 152316875235</t>
        </is>
      </c>
      <c r="C297" t="n">
        <v>600</v>
      </c>
      <c r="D297" t="inlineStr">
        <is>
          <t>Debit</t>
        </is>
      </c>
      <c r="E297" t="inlineStr">
        <is>
          <t>Transfer</t>
        </is>
      </c>
      <c r="F297">
        <f>IF(E297="Income","Revenue",IF(OR(E297="Materials",E297="Labor",E297="Dump Fees"),"COGS",IF(OR(E297="Fuel",E297="Insurance",E297="Tools",E297="Repairs"),"Expense","Non-Deductible")))</f>
        <v/>
      </c>
      <c r="G297" t="inlineStr">
        <is>
          <t>Non-Deductible</t>
        </is>
      </c>
      <c r="H297">
        <f>IF(G297&lt;&gt;F297,"YES","NO")</f>
        <v/>
      </c>
      <c r="I297" t="inlineStr"/>
      <c r="J297" t="inlineStr"/>
    </row>
    <row r="298">
      <c r="A298" s="5" t="n">
        <v>45835</v>
      </c>
      <c r="B298" t="inlineStr">
        <is>
          <t>Other Withdrawals - Zelle Instant PMT To Brian Davis</t>
        </is>
      </c>
      <c r="C298" t="n">
        <v>1400</v>
      </c>
      <c r="D298" t="inlineStr">
        <is>
          <t>Debit</t>
        </is>
      </c>
      <c r="E298" t="inlineStr">
        <is>
          <t>Labor</t>
        </is>
      </c>
      <c r="F298">
        <f>IF(E298="Income","Revenue",IF(OR(E298="Materials",E298="Labor",E298="Dump Fees"),"COGS",IF(OR(E298="Fuel",E298="Insurance",E298="Tools",E298="Repairs"),"Expense","Non-Deductible")))</f>
        <v/>
      </c>
      <c r="G298" t="inlineStr">
        <is>
          <t>COGS</t>
        </is>
      </c>
      <c r="H298">
        <f>IF(G298&lt;&gt;F298,"YES","NO")</f>
        <v/>
      </c>
      <c r="I298" t="inlineStr"/>
      <c r="J298" t="inlineStr">
        <is>
          <t>Bryan</t>
        </is>
      </c>
    </row>
    <row r="299">
      <c r="A299" s="5" t="n">
        <v>45835</v>
      </c>
      <c r="B299" t="inlineStr">
        <is>
          <t>Other Withdrawals - Zelle Instant PMT To Casey Williamson</t>
        </is>
      </c>
      <c r="C299" t="n">
        <v>640</v>
      </c>
      <c r="D299" t="inlineStr">
        <is>
          <t>Debit</t>
        </is>
      </c>
      <c r="E299" t="inlineStr">
        <is>
          <t>Labor</t>
        </is>
      </c>
      <c r="F299">
        <f>IF(E299="Income","Revenue",IF(OR(E299="Materials",E299="Labor",E299="Dump Fees"),"COGS",IF(OR(E299="Fuel",E299="Insurance",E299="Tools",E299="Repairs"),"Expense","Non-Deductible")))</f>
        <v/>
      </c>
      <c r="G299" t="inlineStr">
        <is>
          <t>COGS</t>
        </is>
      </c>
      <c r="H299">
        <f>IF(G299&lt;&gt;F299,"YES","NO")</f>
        <v/>
      </c>
      <c r="I299" t="inlineStr"/>
      <c r="J299" t="inlineStr">
        <is>
          <t>Casey</t>
        </is>
      </c>
    </row>
    <row r="300">
      <c r="A300" s="5" t="n">
        <v>45838</v>
      </c>
      <c r="B300" t="inlineStr">
        <is>
          <t>Card Withdrawals - ATM Withdrawal 437 EDWARDSVILLE TROY IL</t>
        </is>
      </c>
      <c r="C300" t="n">
        <v>203.25</v>
      </c>
      <c r="D300" t="inlineStr">
        <is>
          <t>Debit</t>
        </is>
      </c>
      <c r="E300" t="inlineStr">
        <is>
          <t>Tools</t>
        </is>
      </c>
      <c r="F300">
        <f>IF(E300="Income","Revenue",IF(OR(E300="Materials",E300="Labor",E300="Dump Fees"),"COGS",IF(OR(E300="Fuel",E300="Insurance",E300="Tools",E300="Repairs"),"Expense","Non-Deductible")))</f>
        <v/>
      </c>
      <c r="G300" t="inlineStr">
        <is>
          <t>Expense</t>
        </is>
      </c>
      <c r="H300">
        <f>IF(G300&lt;&gt;F300,"YES","NO")</f>
        <v/>
      </c>
      <c r="I300" t="inlineStr"/>
      <c r="J300" t="inlineStr"/>
    </row>
    <row r="301">
      <c r="A301" s="5" t="n">
        <v>45838</v>
      </c>
      <c r="B301" t="inlineStr">
        <is>
          <t>Card Withdrawals - Debit Purchase CASEYS #3252 129 NEW ATHENS IL 7506291915</t>
        </is>
      </c>
      <c r="C301" t="n">
        <v>15.56</v>
      </c>
      <c r="D301" t="inlineStr">
        <is>
          <t>Debit</t>
        </is>
      </c>
      <c r="E301" t="inlineStr">
        <is>
          <t>Labor</t>
        </is>
      </c>
      <c r="F301">
        <f>IF(E301="Income","Revenue",IF(OR(E301="Materials",E301="Labor",E301="Dump Fees"),"COGS",IF(OR(E301="Fuel",E301="Insurance",E301="Tools",E301="Repairs"),"Expense","Non-Deductible")))</f>
        <v/>
      </c>
      <c r="G301" t="inlineStr">
        <is>
          <t>COGS</t>
        </is>
      </c>
      <c r="H301">
        <f>IF(G301&lt;&gt;F301,"YES","NO")</f>
        <v/>
      </c>
      <c r="I301" t="inlineStr"/>
      <c r="J301" t="inlineStr">
        <is>
          <t>Casey</t>
        </is>
      </c>
    </row>
    <row r="302">
      <c r="A302" s="5" t="n">
        <v>45838</v>
      </c>
      <c r="B302" t="inlineStr">
        <is>
          <t>Card Withdrawals - Debit Purchase MILLSTADT IGA MILLSTADT IL 4706301328</t>
        </is>
      </c>
      <c r="C302" t="n">
        <v>70.12</v>
      </c>
      <c r="D302" t="inlineStr">
        <is>
          <t>Debit</t>
        </is>
      </c>
      <c r="E302" t="inlineStr">
        <is>
          <t>Tools</t>
        </is>
      </c>
      <c r="F302">
        <f>IF(E302="Income","Revenue",IF(OR(E302="Materials",E302="Labor",E302="Dump Fees"),"COGS",IF(OR(E302="Fuel",E302="Insurance",E302="Tools",E302="Repairs"),"Expense","Non-Deductible")))</f>
        <v/>
      </c>
      <c r="G302" t="inlineStr">
        <is>
          <t>Expense</t>
        </is>
      </c>
      <c r="H302">
        <f>IF(G302&lt;&gt;F302,"YES","NO")</f>
        <v/>
      </c>
      <c r="I302" t="inlineStr"/>
      <c r="J302" t="inlineStr"/>
    </row>
    <row r="303">
      <c r="A303" s="5" t="n">
        <v>45838</v>
      </c>
      <c r="B303" t="inlineStr">
        <is>
          <t>Card Withdrawals - Fee ATM Withdrawal At Other Network 3000000438</t>
        </is>
      </c>
      <c r="C303" t="n">
        <v>3</v>
      </c>
      <c r="D303" t="inlineStr">
        <is>
          <t>Debit</t>
        </is>
      </c>
      <c r="E303" t="inlineStr">
        <is>
          <t>Tools</t>
        </is>
      </c>
      <c r="F303">
        <f>IF(E303="Income","Revenue",IF(OR(E303="Materials",E303="Labor",E303="Dump Fees"),"COGS",IF(OR(E303="Fuel",E303="Insurance",E303="Tools",E303="Repairs"),"Expense","Non-Deductible")))</f>
        <v/>
      </c>
      <c r="G303" t="inlineStr">
        <is>
          <t>Expense</t>
        </is>
      </c>
      <c r="H303">
        <f>IF(G303&lt;&gt;F303,"YES","NO")</f>
        <v/>
      </c>
      <c r="I303" t="inlineStr"/>
      <c r="J303" t="inlineStr"/>
    </row>
    <row r="304">
      <c r="A304" s="5" t="n">
        <v>45839</v>
      </c>
      <c r="B304" t="inlineStr">
        <is>
          <t>Card Withdrawals - Debit Purchase - VISA On 062925 NEW ATHENS IL 1300667218</t>
        </is>
      </c>
      <c r="C304" t="n">
        <v>92.05</v>
      </c>
      <c r="D304" t="inlineStr">
        <is>
          <t>Debit</t>
        </is>
      </c>
      <c r="E304" t="inlineStr">
        <is>
          <t>Tools</t>
        </is>
      </c>
      <c r="F304">
        <f>IF(E304="Income","Revenue",IF(OR(E304="Materials",E304="Labor",E304="Dump Fees"),"COGS",IF(OR(E304="Fuel",E304="Insurance",E304="Tools",E304="Repairs"),"Expense","Non-Deductible")))</f>
        <v/>
      </c>
      <c r="G304" t="inlineStr">
        <is>
          <t>Expense</t>
        </is>
      </c>
      <c r="H304">
        <f>IF(G304&lt;&gt;F304,"YES","NO")</f>
        <v/>
      </c>
      <c r="I304" t="inlineStr"/>
      <c r="J304" t="inlineStr"/>
    </row>
    <row r="305">
      <c r="A305" s="5" t="n">
        <v>45839</v>
      </c>
      <c r="B305" t="inlineStr">
        <is>
          <t>Card Withdrawals - Debit Purchase BP#17263004-0 Q TROY IL $</t>
        </is>
      </c>
      <c r="C305" t="n">
        <v>58.95</v>
      </c>
      <c r="D305" t="inlineStr">
        <is>
          <t>Debit</t>
        </is>
      </c>
      <c r="E305" t="inlineStr">
        <is>
          <t>Tools</t>
        </is>
      </c>
      <c r="F305">
        <f>IF(E305="Income","Revenue",IF(OR(E305="Materials",E305="Labor",E305="Dump Fees"),"COGS",IF(OR(E305="Fuel",E305="Insurance",E305="Tools",E305="Repairs"),"Expense","Non-Deductible")))</f>
        <v/>
      </c>
      <c r="G305" t="inlineStr">
        <is>
          <t>Expense</t>
        </is>
      </c>
      <c r="H305">
        <f>IF(G305&lt;&gt;F305,"YES","NO")</f>
        <v/>
      </c>
      <c r="I305" t="inlineStr"/>
      <c r="J305" t="inlineStr"/>
    </row>
    <row r="306">
      <c r="A306" s="5" t="n">
        <v>45840</v>
      </c>
      <c r="B306" t="inlineStr">
        <is>
          <t>Other Withdrawals - Mobile Banking Payment To Credit Card *************3424 $</t>
        </is>
      </c>
      <c r="C306" t="n">
        <v>143</v>
      </c>
      <c r="D306" t="inlineStr">
        <is>
          <t>Debit</t>
        </is>
      </c>
      <c r="E306" t="inlineStr">
        <is>
          <t>Fuel</t>
        </is>
      </c>
      <c r="F306">
        <f>IF(E306="Income","Revenue",IF(OR(E306="Materials",E306="Labor",E306="Dump Fees"),"COGS",IF(OR(E306="Fuel",E306="Insurance",E306="Tools",E306="Repairs"),"Expense","Non-Deductible")))</f>
        <v/>
      </c>
      <c r="G306" t="inlineStr">
        <is>
          <t>Expense</t>
        </is>
      </c>
      <c r="H306">
        <f>IF(G306&lt;&gt;F306,"YES","NO")</f>
        <v/>
      </c>
      <c r="I306" t="inlineStr"/>
      <c r="J306" t="inlineStr"/>
    </row>
    <row r="307">
      <c r="A307" s="5" t="n">
        <v>45841</v>
      </c>
      <c r="B307" t="inlineStr">
        <is>
          <t>Card Withdrawals - Debit Purchase - VISA On 070125 NEW BADEN IL 3393059601</t>
        </is>
      </c>
      <c r="C307" t="n">
        <v>13.68</v>
      </c>
      <c r="D307" t="inlineStr">
        <is>
          <t>Debit</t>
        </is>
      </c>
      <c r="E307" t="inlineStr">
        <is>
          <t>Tools</t>
        </is>
      </c>
      <c r="F307">
        <f>IF(E307="Income","Revenue",IF(OR(E307="Materials",E307="Labor",E307="Dump Fees"),"COGS",IF(OR(E307="Fuel",E307="Insurance",E307="Tools",E307="Repairs"),"Expense","Non-Deductible")))</f>
        <v/>
      </c>
      <c r="G307" t="inlineStr">
        <is>
          <t>Expense</t>
        </is>
      </c>
      <c r="H307">
        <f>IF(G307&lt;&gt;F307,"YES","NO")</f>
        <v/>
      </c>
      <c r="I307" t="inlineStr"/>
      <c r="J307" t="inlineStr"/>
    </row>
    <row r="308">
      <c r="A308" s="5" t="n">
        <v>45841</v>
      </c>
      <c r="B308" t="inlineStr">
        <is>
          <t>Card Withdrawals - Debit Purchase - VISA On 070225 New Athens IL 4102458955</t>
        </is>
      </c>
      <c r="C308" t="n">
        <v>29.1</v>
      </c>
      <c r="D308" t="inlineStr">
        <is>
          <t>Debit</t>
        </is>
      </c>
      <c r="E308" t="inlineStr">
        <is>
          <t>Tools</t>
        </is>
      </c>
      <c r="F308">
        <f>IF(E308="Income","Revenue",IF(OR(E308="Materials",E308="Labor",E308="Dump Fees"),"COGS",IF(OR(E308="Fuel",E308="Insurance",E308="Tools",E308="Repairs"),"Expense","Non-Deductible")))</f>
        <v/>
      </c>
      <c r="G308" t="inlineStr">
        <is>
          <t>Expense</t>
        </is>
      </c>
      <c r="H308">
        <f>IF(G308&lt;&gt;F308,"YES","NO")</f>
        <v/>
      </c>
      <c r="I308" t="inlineStr"/>
      <c r="J308" t="inlineStr"/>
    </row>
    <row r="309">
      <c r="A309" s="5" t="n">
        <v>45841</v>
      </c>
      <c r="B309" t="inlineStr">
        <is>
          <t>Card Withdrawals - Debit Purchase DOLLAR-GENERAL # FREEBURG IL 9907031526</t>
        </is>
      </c>
      <c r="C309" t="n">
        <v>57.4</v>
      </c>
      <c r="D309" t="inlineStr">
        <is>
          <t>Debit</t>
        </is>
      </c>
      <c r="E309" t="inlineStr">
        <is>
          <t>Tools</t>
        </is>
      </c>
      <c r="F309">
        <f>IF(E309="Income","Revenue",IF(OR(E309="Materials",E309="Labor",E309="Dump Fees"),"COGS",IF(OR(E309="Fuel",E309="Insurance",E309="Tools",E309="Repairs"),"Expense","Non-Deductible")))</f>
        <v/>
      </c>
      <c r="G309" t="inlineStr">
        <is>
          <t>Expense</t>
        </is>
      </c>
      <c r="H309">
        <f>IF(G309&lt;&gt;F309,"YES","NO")</f>
        <v/>
      </c>
      <c r="I309" t="inlineStr"/>
      <c r="J309" t="inlineStr"/>
    </row>
    <row r="310">
      <c r="A310" s="5" t="n">
        <v>45841</v>
      </c>
      <c r="B310" t="inlineStr">
        <is>
          <t>Card Withdrawals - Debit Purchase MOTOMART FREEBURG IL</t>
        </is>
      </c>
      <c r="C310" t="n">
        <v>20.94</v>
      </c>
      <c r="D310" t="inlineStr">
        <is>
          <t>Debit</t>
        </is>
      </c>
      <c r="E310" t="inlineStr">
        <is>
          <t>Tools</t>
        </is>
      </c>
      <c r="F310">
        <f>IF(E310="Income","Revenue",IF(OR(E310="Materials",E310="Labor",E310="Dump Fees"),"COGS",IF(OR(E310="Fuel",E310="Insurance",E310="Tools",E310="Repairs"),"Expense","Non-Deductible")))</f>
        <v/>
      </c>
      <c r="G310" t="inlineStr">
        <is>
          <t>Expense</t>
        </is>
      </c>
      <c r="H310">
        <f>IF(G310&lt;&gt;F310,"YES","NO")</f>
        <v/>
      </c>
      <c r="I310" t="inlineStr"/>
      <c r="J310" t="inlineStr"/>
    </row>
    <row r="311">
      <c r="A311" s="5" t="n">
        <v>45841</v>
      </c>
      <c r="B311" t="inlineStr">
        <is>
          <t>Card Withdrawals - Debit Purchase MOTOMART FREEBURG IL</t>
        </is>
      </c>
      <c r="C311" t="n">
        <v>87.08</v>
      </c>
      <c r="D311" t="inlineStr">
        <is>
          <t>Debit</t>
        </is>
      </c>
      <c r="E311" t="inlineStr">
        <is>
          <t>Tools</t>
        </is>
      </c>
      <c r="F311">
        <f>IF(E311="Income","Revenue",IF(OR(E311="Materials",E311="Labor",E311="Dump Fees"),"COGS",IF(OR(E311="Fuel",E311="Insurance",E311="Tools",E311="Repairs"),"Expense","Non-Deductible")))</f>
        <v/>
      </c>
      <c r="G311" t="inlineStr">
        <is>
          <t>Expense</t>
        </is>
      </c>
      <c r="H311">
        <f>IF(G311&lt;&gt;F311,"YES","NO")</f>
        <v/>
      </c>
      <c r="I311" t="inlineStr"/>
      <c r="J311" t="inlineStr"/>
    </row>
    <row r="312">
      <c r="A312" s="5" t="n">
        <v>45841</v>
      </c>
      <c r="B312" t="inlineStr">
        <is>
          <t>Card Withdrawals - Recurring Debit Purchase On 070225 800-956-6310 IL 3238232725</t>
        </is>
      </c>
      <c r="C312" t="n">
        <v>328.77</v>
      </c>
      <c r="D312" t="inlineStr">
        <is>
          <t>Debit</t>
        </is>
      </c>
      <c r="E312" t="inlineStr">
        <is>
          <t>Tools</t>
        </is>
      </c>
      <c r="F312">
        <f>IF(E312="Income","Revenue",IF(OR(E312="Materials",E312="Labor",E312="Dump Fees"),"COGS",IF(OR(E312="Fuel",E312="Insurance",E312="Tools",E312="Repairs"),"Expense","Non-Deductible")))</f>
        <v/>
      </c>
      <c r="G312" t="inlineStr">
        <is>
          <t>Expense</t>
        </is>
      </c>
      <c r="H312">
        <f>IF(G312&lt;&gt;F312,"YES","NO")</f>
        <v/>
      </c>
      <c r="I312" t="inlineStr"/>
      <c r="J312" t="inlineStr"/>
    </row>
    <row r="313">
      <c r="A313" s="5" t="n">
        <v>45845</v>
      </c>
      <c r="B313" t="inlineStr">
        <is>
          <t>Card Withdrawals - Debit Purchase - VISA On 070325 BELLEVILLE IL 5395567156</t>
        </is>
      </c>
      <c r="C313" t="n">
        <v>13.95</v>
      </c>
      <c r="D313" t="inlineStr">
        <is>
          <t>Debit</t>
        </is>
      </c>
      <c r="E313" t="inlineStr">
        <is>
          <t>Tools</t>
        </is>
      </c>
      <c r="F313">
        <f>IF(E313="Income","Revenue",IF(OR(E313="Materials",E313="Labor",E313="Dump Fees"),"COGS",IF(OR(E313="Fuel",E313="Insurance",E313="Tools",E313="Repairs"),"Expense","Non-Deductible")))</f>
        <v/>
      </c>
      <c r="G313" t="inlineStr">
        <is>
          <t>Expense</t>
        </is>
      </c>
      <c r="H313">
        <f>IF(G313&lt;&gt;F313,"YES","NO")</f>
        <v/>
      </c>
      <c r="I313" t="inlineStr"/>
      <c r="J313" t="inlineStr"/>
    </row>
    <row r="314">
      <c r="A314" s="5" t="n">
        <v>45845</v>
      </c>
      <c r="B314" t="inlineStr">
        <is>
          <t>Card Withdrawals - Debit Purchase - VISA On 070525 COULTERVILLE IL 7900010273</t>
        </is>
      </c>
      <c r="C314" t="n">
        <v>38.25</v>
      </c>
      <c r="D314" t="inlineStr">
        <is>
          <t>Debit</t>
        </is>
      </c>
      <c r="E314" t="inlineStr">
        <is>
          <t>Tools</t>
        </is>
      </c>
      <c r="F314">
        <f>IF(E314="Income","Revenue",IF(OR(E314="Materials",E314="Labor",E314="Dump Fees"),"COGS",IF(OR(E314="Fuel",E314="Insurance",E314="Tools",E314="Repairs"),"Expense","Non-Deductible")))</f>
        <v/>
      </c>
      <c r="G314" t="inlineStr">
        <is>
          <t>Expense</t>
        </is>
      </c>
      <c r="H314">
        <f>IF(G314&lt;&gt;F314,"YES","NO")</f>
        <v/>
      </c>
      <c r="I314" t="inlineStr"/>
      <c r="J314" t="inlineStr"/>
    </row>
    <row r="315">
      <c r="A315" s="5" t="n">
        <v>45845</v>
      </c>
      <c r="B315" t="inlineStr">
        <is>
          <t>Card Withdrawals - Debit Purchase - VISA On 070525 FREEBURG IL 6720243407</t>
        </is>
      </c>
      <c r="C315" t="n">
        <v>21.07</v>
      </c>
      <c r="D315" t="inlineStr">
        <is>
          <t>Debit</t>
        </is>
      </c>
      <c r="E315" t="inlineStr">
        <is>
          <t>Tools</t>
        </is>
      </c>
      <c r="F315">
        <f>IF(E315="Income","Revenue",IF(OR(E315="Materials",E315="Labor",E315="Dump Fees"),"COGS",IF(OR(E315="Fuel",E315="Insurance",E315="Tools",E315="Repairs"),"Expense","Non-Deductible")))</f>
        <v/>
      </c>
      <c r="G315" t="inlineStr">
        <is>
          <t>Expense</t>
        </is>
      </c>
      <c r="H315">
        <f>IF(G315&lt;&gt;F315,"YES","NO")</f>
        <v/>
      </c>
      <c r="I315" t="inlineStr"/>
      <c r="J315" t="inlineStr"/>
    </row>
    <row r="316">
      <c r="A316" s="5" t="n">
        <v>45845</v>
      </c>
      <c r="B316" t="inlineStr">
        <is>
          <t>Other Withdrawals - Mobile Banking Transfer To Account 152316874980</t>
        </is>
      </c>
      <c r="C316" t="n">
        <v>34</v>
      </c>
      <c r="D316" t="inlineStr">
        <is>
          <t>Debit</t>
        </is>
      </c>
      <c r="E316" t="inlineStr">
        <is>
          <t>Transfer</t>
        </is>
      </c>
      <c r="F316">
        <f>IF(E316="Income","Revenue",IF(OR(E316="Materials",E316="Labor",E316="Dump Fees"),"COGS",IF(OR(E316="Fuel",E316="Insurance",E316="Tools",E316="Repairs"),"Expense","Non-Deductible")))</f>
        <v/>
      </c>
      <c r="G316" t="inlineStr">
        <is>
          <t>Non-Deductible</t>
        </is>
      </c>
      <c r="H316">
        <f>IF(G316&lt;&gt;F316,"YES","NO")</f>
        <v/>
      </c>
      <c r="I316" t="inlineStr"/>
      <c r="J316" t="inlineStr"/>
    </row>
    <row r="317">
      <c r="A317" s="5" t="n">
        <v>45845</v>
      </c>
      <c r="B317" t="inlineStr">
        <is>
          <t>Other Withdrawals - Zelle Instant PMT To Brian Davis</t>
        </is>
      </c>
      <c r="C317" t="n">
        <v>1100</v>
      </c>
      <c r="D317" t="inlineStr">
        <is>
          <t>Debit</t>
        </is>
      </c>
      <c r="E317" t="inlineStr">
        <is>
          <t>Labor</t>
        </is>
      </c>
      <c r="F317">
        <f>IF(E317="Income","Revenue",IF(OR(E317="Materials",E317="Labor",E317="Dump Fees"),"COGS",IF(OR(E317="Fuel",E317="Insurance",E317="Tools",E317="Repairs"),"Expense","Non-Deductible")))</f>
        <v/>
      </c>
      <c r="G317" t="inlineStr">
        <is>
          <t>COGS</t>
        </is>
      </c>
      <c r="H317">
        <f>IF(G317&lt;&gt;F317,"YES","NO")</f>
        <v/>
      </c>
      <c r="I317" t="inlineStr"/>
      <c r="J317" t="inlineStr">
        <is>
          <t>Bryan</t>
        </is>
      </c>
    </row>
    <row r="318">
      <c r="A318" s="5" t="n">
        <v>45845</v>
      </c>
      <c r="B318" t="inlineStr">
        <is>
          <t>Other Withdrawals - Zelle Instant PMT To Casey Williamson</t>
        </is>
      </c>
      <c r="C318" t="n">
        <v>425</v>
      </c>
      <c r="D318" t="inlineStr">
        <is>
          <t>Debit</t>
        </is>
      </c>
      <c r="E318" t="inlineStr">
        <is>
          <t>Labor</t>
        </is>
      </c>
      <c r="F318">
        <f>IF(E318="Income","Revenue",IF(OR(E318="Materials",E318="Labor",E318="Dump Fees"),"COGS",IF(OR(E318="Fuel",E318="Insurance",E318="Tools",E318="Repairs"),"Expense","Non-Deductible")))</f>
        <v/>
      </c>
      <c r="G318" t="inlineStr">
        <is>
          <t>COGS</t>
        </is>
      </c>
      <c r="H318">
        <f>IF(G318&lt;&gt;F318,"YES","NO")</f>
        <v/>
      </c>
      <c r="I318" t="inlineStr"/>
      <c r="J318" t="inlineStr">
        <is>
          <t>Casey</t>
        </is>
      </c>
    </row>
    <row r="319">
      <c r="A319" s="5" t="n">
        <v>45845</v>
      </c>
      <c r="B319" t="inlineStr">
        <is>
          <t>Other Withdrawals - Zelle Instant PMT To Nadia Session</t>
        </is>
      </c>
      <c r="C319" t="n">
        <v>245</v>
      </c>
      <c r="D319" t="inlineStr">
        <is>
          <t>Debit</t>
        </is>
      </c>
      <c r="E319" t="inlineStr">
        <is>
          <t>Tools</t>
        </is>
      </c>
      <c r="F319">
        <f>IF(E319="Income","Revenue",IF(OR(E319="Materials",E319="Labor",E319="Dump Fees"),"COGS",IF(OR(E319="Fuel",E319="Insurance",E319="Tools",E319="Repairs"),"Expense","Non-Deductible")))</f>
        <v/>
      </c>
      <c r="G319" t="inlineStr">
        <is>
          <t>Expense</t>
        </is>
      </c>
      <c r="H319">
        <f>IF(G319&lt;&gt;F319,"YES","NO")</f>
        <v/>
      </c>
      <c r="I319" t="inlineStr"/>
      <c r="J319" t="inlineStr"/>
    </row>
    <row r="320">
      <c r="A320" s="5" t="n">
        <v>45846</v>
      </c>
      <c r="B320" t="inlineStr">
        <is>
          <t>Card Withdrawals - Debit Purchase - VISA On 070725 BELLEVILLE IL 9001111107</t>
        </is>
      </c>
      <c r="C320" t="n">
        <v>21.46</v>
      </c>
      <c r="D320" t="inlineStr">
        <is>
          <t>Debit</t>
        </is>
      </c>
      <c r="E320" t="inlineStr">
        <is>
          <t>Tools</t>
        </is>
      </c>
      <c r="F320">
        <f>IF(E320="Income","Revenue",IF(OR(E320="Materials",E320="Labor",E320="Dump Fees"),"COGS",IF(OR(E320="Fuel",E320="Insurance",E320="Tools",E320="Repairs"),"Expense","Non-Deductible")))</f>
        <v/>
      </c>
      <c r="G320" t="inlineStr">
        <is>
          <t>Expense</t>
        </is>
      </c>
      <c r="H320">
        <f>IF(G320&lt;&gt;F320,"YES","NO")</f>
        <v/>
      </c>
      <c r="I320" t="inlineStr"/>
      <c r="J320" t="inlineStr"/>
    </row>
    <row r="321">
      <c r="A321" s="5" t="n">
        <v>45846</v>
      </c>
      <c r="B321" t="inlineStr">
        <is>
          <t>Card Withdrawals - Debit Purchase DOLLAR-GENERAL # FREEBURG IL 0607071935</t>
        </is>
      </c>
      <c r="C321" t="n">
        <v>87.34</v>
      </c>
      <c r="D321" t="inlineStr">
        <is>
          <t>Debit</t>
        </is>
      </c>
      <c r="E321" t="inlineStr">
        <is>
          <t>Tools</t>
        </is>
      </c>
      <c r="F321">
        <f>IF(E321="Income","Revenue",IF(OR(E321="Materials",E321="Labor",E321="Dump Fees"),"COGS",IF(OR(E321="Fuel",E321="Insurance",E321="Tools",E321="Repairs"),"Expense","Non-Deductible")))</f>
        <v/>
      </c>
      <c r="G321" t="inlineStr">
        <is>
          <t>Expense</t>
        </is>
      </c>
      <c r="H321">
        <f>IF(G321&lt;&gt;F321,"YES","NO")</f>
        <v/>
      </c>
      <c r="I321" t="inlineStr"/>
      <c r="J321" t="inlineStr"/>
    </row>
    <row r="322">
      <c r="A322" s="5" t="n">
        <v>45846</v>
      </c>
      <c r="B322" t="inlineStr">
        <is>
          <t>Other Withdrawals - Electronic Withdrawal To CEFCU TEL DEBIT</t>
        </is>
      </c>
      <c r="C322" t="n">
        <v>1042.46</v>
      </c>
      <c r="D322" t="inlineStr">
        <is>
          <t>Debit</t>
        </is>
      </c>
      <c r="E322" t="inlineStr">
        <is>
          <t>Tools</t>
        </is>
      </c>
      <c r="F322">
        <f>IF(E322="Income","Revenue",IF(OR(E322="Materials",E322="Labor",E322="Dump Fees"),"COGS",IF(OR(E322="Fuel",E322="Insurance",E322="Tools",E322="Repairs"),"Expense","Non-Deductible")))</f>
        <v/>
      </c>
      <c r="G322" t="inlineStr">
        <is>
          <t>Expense</t>
        </is>
      </c>
      <c r="H322">
        <f>IF(G322&lt;&gt;F322,"YES","NO")</f>
        <v/>
      </c>
      <c r="I322" t="inlineStr"/>
      <c r="J322" t="inlineStr"/>
    </row>
    <row r="323">
      <c r="A323" s="5" t="n">
        <v>45847</v>
      </c>
      <c r="B323" t="inlineStr">
        <is>
          <t>Card Withdrawals - Debit Purchase - VISA On 070825 BELLEVILLE IL 9001647062</t>
        </is>
      </c>
      <c r="C323" t="n">
        <v>4.21</v>
      </c>
      <c r="D323" t="inlineStr">
        <is>
          <t>Debit</t>
        </is>
      </c>
      <c r="E323" t="inlineStr">
        <is>
          <t>Tools</t>
        </is>
      </c>
      <c r="F323">
        <f>IF(E323="Income","Revenue",IF(OR(E323="Materials",E323="Labor",E323="Dump Fees"),"COGS",IF(OR(E323="Fuel",E323="Insurance",E323="Tools",E323="Repairs"),"Expense","Non-Deductible")))</f>
        <v/>
      </c>
      <c r="G323" t="inlineStr">
        <is>
          <t>Expense</t>
        </is>
      </c>
      <c r="H323">
        <f>IF(G323&lt;&gt;F323,"YES","NO")</f>
        <v/>
      </c>
      <c r="I323" t="inlineStr"/>
      <c r="J323" t="inlineStr"/>
    </row>
    <row r="324">
      <c r="A324" s="5" t="n">
        <v>45847</v>
      </c>
      <c r="B324" t="inlineStr">
        <is>
          <t>Card Withdrawals - Debit Purchase - VISA On 070825 BELLEVILLE IL 9018202101</t>
        </is>
      </c>
      <c r="C324" t="n">
        <v>50</v>
      </c>
      <c r="D324" t="inlineStr">
        <is>
          <t>Debit</t>
        </is>
      </c>
      <c r="E324" t="inlineStr">
        <is>
          <t>Tools</t>
        </is>
      </c>
      <c r="F324">
        <f>IF(E324="Income","Revenue",IF(OR(E324="Materials",E324="Labor",E324="Dump Fees"),"COGS",IF(OR(E324="Fuel",E324="Insurance",E324="Tools",E324="Repairs"),"Expense","Non-Deductible")))</f>
        <v/>
      </c>
      <c r="G324" t="inlineStr">
        <is>
          <t>Expense</t>
        </is>
      </c>
      <c r="H324">
        <f>IF(G324&lt;&gt;F324,"YES","NO")</f>
        <v/>
      </c>
      <c r="I324" t="inlineStr"/>
      <c r="J324" t="inlineStr"/>
    </row>
    <row r="325">
      <c r="A325" s="5" t="n">
        <v>45847</v>
      </c>
      <c r="B325" t="inlineStr">
        <is>
          <t>Card Withdrawals - Debit Purchase - VISA On 070825 BELLEVILLE IL 9720245401</t>
        </is>
      </c>
      <c r="C325" t="n">
        <v>2.04</v>
      </c>
      <c r="D325" t="inlineStr">
        <is>
          <t>Debit</t>
        </is>
      </c>
      <c r="E325" t="inlineStr">
        <is>
          <t>Tools</t>
        </is>
      </c>
      <c r="F325">
        <f>IF(E325="Income","Revenue",IF(OR(E325="Materials",E325="Labor",E325="Dump Fees"),"COGS",IF(OR(E325="Fuel",E325="Insurance",E325="Tools",E325="Repairs"),"Expense","Non-Deductible")))</f>
        <v/>
      </c>
      <c r="G325" t="inlineStr">
        <is>
          <t>Expense</t>
        </is>
      </c>
      <c r="H325">
        <f>IF(G325&lt;&gt;F325,"YES","NO")</f>
        <v/>
      </c>
      <c r="I325" t="inlineStr"/>
      <c r="J325" t="inlineStr"/>
    </row>
    <row r="326">
      <c r="A326" s="5" t="n">
        <v>45847</v>
      </c>
      <c r="B326" t="inlineStr">
        <is>
          <t>Card Withdrawals - Debit Purchase - VISA On 070825 BELLEVILLE IL 9900012800</t>
        </is>
      </c>
      <c r="C326" t="n">
        <v>75.87</v>
      </c>
      <c r="D326" t="inlineStr">
        <is>
          <t>Debit</t>
        </is>
      </c>
      <c r="E326" t="inlineStr">
        <is>
          <t>Tools</t>
        </is>
      </c>
      <c r="F326">
        <f>IF(E326="Income","Revenue",IF(OR(E326="Materials",E326="Labor",E326="Dump Fees"),"COGS",IF(OR(E326="Fuel",E326="Insurance",E326="Tools",E326="Repairs"),"Expense","Non-Deductible")))</f>
        <v/>
      </c>
      <c r="G326" t="inlineStr">
        <is>
          <t>Expense</t>
        </is>
      </c>
      <c r="H326">
        <f>IF(G326&lt;&gt;F326,"YES","NO")</f>
        <v/>
      </c>
      <c r="I326" t="inlineStr"/>
      <c r="J326" t="inlineStr"/>
    </row>
    <row r="327">
      <c r="A327" s="5" t="n">
        <v>45847</v>
      </c>
      <c r="B327" t="inlineStr">
        <is>
          <t>Card Withdrawals - Debit Purchase - VISA On 070825 NEW ATHENS IL 9300712625</t>
        </is>
      </c>
      <c r="C327" t="n">
        <v>36.61</v>
      </c>
      <c r="D327" t="inlineStr">
        <is>
          <t>Debit</t>
        </is>
      </c>
      <c r="E327" t="inlineStr">
        <is>
          <t>Tools</t>
        </is>
      </c>
      <c r="F327">
        <f>IF(E327="Income","Revenue",IF(OR(E327="Materials",E327="Labor",E327="Dump Fees"),"COGS",IF(OR(E327="Fuel",E327="Insurance",E327="Tools",E327="Repairs"),"Expense","Non-Deductible")))</f>
        <v/>
      </c>
      <c r="G327" t="inlineStr">
        <is>
          <t>Expense</t>
        </is>
      </c>
      <c r="H327">
        <f>IF(G327&lt;&gt;F327,"YES","NO")</f>
        <v/>
      </c>
      <c r="I327" t="inlineStr"/>
      <c r="J327" t="inlineStr"/>
    </row>
    <row r="328">
      <c r="A328" s="5" t="n">
        <v>45847</v>
      </c>
      <c r="B328" t="inlineStr">
        <is>
          <t>Other Withdrawals - Zelle Instant PMT To Tabitha Session</t>
        </is>
      </c>
      <c r="C328" t="n">
        <v>239</v>
      </c>
      <c r="D328" t="inlineStr">
        <is>
          <t>Debit</t>
        </is>
      </c>
      <c r="E328" t="inlineStr">
        <is>
          <t>Tools</t>
        </is>
      </c>
      <c r="F328">
        <f>IF(E328="Income","Revenue",IF(OR(E328="Materials",E328="Labor",E328="Dump Fees"),"COGS",IF(OR(E328="Fuel",E328="Insurance",E328="Tools",E328="Repairs"),"Expense","Non-Deductible")))</f>
        <v/>
      </c>
      <c r="G328" t="inlineStr">
        <is>
          <t>Expense</t>
        </is>
      </c>
      <c r="H328">
        <f>IF(G328&lt;&gt;F328,"YES","NO")</f>
        <v/>
      </c>
      <c r="I328" t="inlineStr"/>
      <c r="J328" t="inlineStr"/>
    </row>
    <row r="329">
      <c r="A329" s="5" t="n">
        <v>45848</v>
      </c>
      <c r="B329" t="inlineStr">
        <is>
          <t>Card Withdrawals - Debit Purchase - VISA On 070925 FREEBURG IL 0720246535</t>
        </is>
      </c>
      <c r="C329" t="n">
        <v>4.14</v>
      </c>
      <c r="D329" t="inlineStr">
        <is>
          <t>Debit</t>
        </is>
      </c>
      <c r="E329" t="inlineStr">
        <is>
          <t>Tools</t>
        </is>
      </c>
      <c r="F329">
        <f>IF(E329="Income","Revenue",IF(OR(E329="Materials",E329="Labor",E329="Dump Fees"),"COGS",IF(OR(E329="Fuel",E329="Insurance",E329="Tools",E329="Repairs"),"Expense","Non-Deductible")))</f>
        <v/>
      </c>
      <c r="G329" t="inlineStr">
        <is>
          <t>Expense</t>
        </is>
      </c>
      <c r="H329">
        <f>IF(G329&lt;&gt;F329,"YES","NO")</f>
        <v/>
      </c>
      <c r="I329" t="inlineStr"/>
      <c r="J329" t="inlineStr"/>
    </row>
    <row r="330">
      <c r="A330" s="5" t="n">
        <v>45848</v>
      </c>
      <c r="B330" t="inlineStr">
        <is>
          <t>Card Withdrawals - Debit Purchase - VISA On 070925 NEW ATHENS IL 0900016131</t>
        </is>
      </c>
      <c r="C330" t="n">
        <v>42.45</v>
      </c>
      <c r="D330" t="inlineStr">
        <is>
          <t>Debit</t>
        </is>
      </c>
      <c r="E330" t="inlineStr">
        <is>
          <t>Tools</t>
        </is>
      </c>
      <c r="F330">
        <f>IF(E330="Income","Revenue",IF(OR(E330="Materials",E330="Labor",E330="Dump Fees"),"COGS",IF(OR(E330="Fuel",E330="Insurance",E330="Tools",E330="Repairs"),"Expense","Non-Deductible")))</f>
        <v/>
      </c>
      <c r="G330" t="inlineStr">
        <is>
          <t>Expense</t>
        </is>
      </c>
      <c r="H330">
        <f>IF(G330&lt;&gt;F330,"YES","NO")</f>
        <v/>
      </c>
      <c r="I330" t="inlineStr"/>
      <c r="J330" t="inlineStr"/>
    </row>
    <row r="331">
      <c r="A331" s="5" t="n">
        <v>45848</v>
      </c>
      <c r="B331" t="inlineStr">
        <is>
          <t>Card Withdrawals - Debit Purchase USPS PO 16290405 FREEBURG IL 8807101245</t>
        </is>
      </c>
      <c r="C331" t="n">
        <v>0.73</v>
      </c>
      <c r="D331" t="inlineStr">
        <is>
          <t>Debit</t>
        </is>
      </c>
      <c r="E331" t="inlineStr">
        <is>
          <t>Tools</t>
        </is>
      </c>
      <c r="F331">
        <f>IF(E331="Income","Revenue",IF(OR(E331="Materials",E331="Labor",E331="Dump Fees"),"COGS",IF(OR(E331="Fuel",E331="Insurance",E331="Tools",E331="Repairs"),"Expense","Non-Deductible")))</f>
        <v/>
      </c>
      <c r="G331" t="inlineStr">
        <is>
          <t>Expense</t>
        </is>
      </c>
      <c r="H331">
        <f>IF(G331&lt;&gt;F331,"YES","NO")</f>
        <v/>
      </c>
      <c r="I331" t="inlineStr"/>
      <c r="J331" t="inlineStr"/>
    </row>
    <row r="332">
      <c r="A332" s="5" t="n">
        <v>45848</v>
      </c>
      <c r="B332" t="inlineStr">
        <is>
          <t>Other Deposits - Mobile Check Deposit 8911675733 $</t>
        </is>
      </c>
      <c r="C332" t="n">
        <v>7747</v>
      </c>
      <c r="D332" t="inlineStr">
        <is>
          <t>Credit</t>
        </is>
      </c>
      <c r="E332" t="inlineStr">
        <is>
          <t>Income</t>
        </is>
      </c>
      <c r="F332">
        <f>IF(E332="Income","Revenue",IF(OR(E332="Materials",E332="Labor",E332="Dump Fees"),"COGS",IF(OR(E332="Fuel",E332="Insurance",E332="Tools",E332="Repairs"),"Expense","Non-Deductible")))</f>
        <v/>
      </c>
      <c r="G332" t="inlineStr">
        <is>
          <t>Revenue</t>
        </is>
      </c>
      <c r="H332">
        <f>IF(G332&lt;&gt;F332,"YES","NO")</f>
        <v/>
      </c>
      <c r="I332" t="inlineStr"/>
      <c r="J332" t="inlineStr"/>
    </row>
    <row r="333">
      <c r="A333" s="5" t="n">
        <v>45849</v>
      </c>
      <c r="B333" t="inlineStr">
        <is>
          <t>Card Withdrawals - Debit Purchase - VISA On 070925 BELLEVILLE IL 1109127181</t>
        </is>
      </c>
      <c r="C333" t="n">
        <v>14.17</v>
      </c>
      <c r="D333" t="inlineStr">
        <is>
          <t>Debit</t>
        </is>
      </c>
      <c r="E333" t="inlineStr">
        <is>
          <t>Tools</t>
        </is>
      </c>
      <c r="F333">
        <f>IF(E333="Income","Revenue",IF(OR(E333="Materials",E333="Labor",E333="Dump Fees"),"COGS",IF(OR(E333="Fuel",E333="Insurance",E333="Tools",E333="Repairs"),"Expense","Non-Deductible")))</f>
        <v/>
      </c>
      <c r="G333" t="inlineStr">
        <is>
          <t>Expense</t>
        </is>
      </c>
      <c r="H333">
        <f>IF(G333&lt;&gt;F333,"YES","NO")</f>
        <v/>
      </c>
      <c r="I333" t="inlineStr"/>
      <c r="J333" t="inlineStr"/>
    </row>
    <row r="334">
      <c r="A334" s="5" t="n">
        <v>45849</v>
      </c>
      <c r="B334" t="inlineStr">
        <is>
          <t>Other Withdrawals - Electronic Withdrawal To MIDLAND MTG</t>
        </is>
      </c>
      <c r="C334" t="n">
        <v>964.5599999999999</v>
      </c>
      <c r="D334" t="inlineStr">
        <is>
          <t>Debit</t>
        </is>
      </c>
      <c r="E334" t="inlineStr">
        <is>
          <t>Tools</t>
        </is>
      </c>
      <c r="F334">
        <f>IF(E334="Income","Revenue",IF(OR(E334="Materials",E334="Labor",E334="Dump Fees"),"COGS",IF(OR(E334="Fuel",E334="Insurance",E334="Tools",E334="Repairs"),"Expense","Non-Deductible")))</f>
        <v/>
      </c>
      <c r="G334" t="inlineStr">
        <is>
          <t>Expense</t>
        </is>
      </c>
      <c r="H334">
        <f>IF(G334&lt;&gt;F334,"YES","NO")</f>
        <v/>
      </c>
      <c r="I334" t="inlineStr"/>
      <c r="J334" t="inlineStr"/>
    </row>
    <row r="335">
      <c r="A335" s="5" t="n">
        <v>45849</v>
      </c>
      <c r="B335" t="inlineStr">
        <is>
          <t>Other Withdrawals - Zelle Instant PMT To Brian Davis</t>
        </is>
      </c>
      <c r="C335" t="n">
        <v>1300</v>
      </c>
      <c r="D335" t="inlineStr">
        <is>
          <t>Debit</t>
        </is>
      </c>
      <c r="E335" t="inlineStr">
        <is>
          <t>Labor</t>
        </is>
      </c>
      <c r="F335">
        <f>IF(E335="Income","Revenue",IF(OR(E335="Materials",E335="Labor",E335="Dump Fees"),"COGS",IF(OR(E335="Fuel",E335="Insurance",E335="Tools",E335="Repairs"),"Expense","Non-Deductible")))</f>
        <v/>
      </c>
      <c r="G335" t="inlineStr">
        <is>
          <t>COGS</t>
        </is>
      </c>
      <c r="H335">
        <f>IF(G335&lt;&gt;F335,"YES","NO")</f>
        <v/>
      </c>
      <c r="I335" t="inlineStr"/>
      <c r="J335" t="inlineStr">
        <is>
          <t>Bryan</t>
        </is>
      </c>
    </row>
    <row r="336">
      <c r="A336" s="5" t="n">
        <v>45849</v>
      </c>
      <c r="B336" t="inlineStr">
        <is>
          <t>Other Withdrawals - Zelle Instant PMT To Casey Williamson</t>
        </is>
      </c>
      <c r="C336" t="n">
        <v>725</v>
      </c>
      <c r="D336" t="inlineStr">
        <is>
          <t>Debit</t>
        </is>
      </c>
      <c r="E336" t="inlineStr">
        <is>
          <t>Labor</t>
        </is>
      </c>
      <c r="F336">
        <f>IF(E336="Income","Revenue",IF(OR(E336="Materials",E336="Labor",E336="Dump Fees"),"COGS",IF(OR(E336="Fuel",E336="Insurance",E336="Tools",E336="Repairs"),"Expense","Non-Deductible")))</f>
        <v/>
      </c>
      <c r="G336" t="inlineStr">
        <is>
          <t>COGS</t>
        </is>
      </c>
      <c r="H336">
        <f>IF(G336&lt;&gt;F336,"YES","NO")</f>
        <v/>
      </c>
      <c r="I336" t="inlineStr"/>
      <c r="J336" t="inlineStr">
        <is>
          <t>Casey</t>
        </is>
      </c>
    </row>
    <row r="337">
      <c r="A337" s="5" t="n">
        <v>45852</v>
      </c>
      <c r="B337" t="inlineStr">
        <is>
          <t>Card Withdrawals - Debit Purchase - VISA On 071025 618-2572410 IL 2045103522</t>
        </is>
      </c>
      <c r="C337" t="n">
        <v>41.37</v>
      </c>
      <c r="D337" t="inlineStr">
        <is>
          <t>Debit</t>
        </is>
      </c>
      <c r="E337" t="inlineStr">
        <is>
          <t>Tools</t>
        </is>
      </c>
      <c r="F337">
        <f>IF(E337="Income","Revenue",IF(OR(E337="Materials",E337="Labor",E337="Dump Fees"),"COGS",IF(OR(E337="Fuel",E337="Insurance",E337="Tools",E337="Repairs"),"Expense","Non-Deductible")))</f>
        <v/>
      </c>
      <c r="G337" t="inlineStr">
        <is>
          <t>Expense</t>
        </is>
      </c>
      <c r="H337">
        <f>IF(G337&lt;&gt;F337,"YES","NO")</f>
        <v/>
      </c>
      <c r="I337" t="inlineStr"/>
      <c r="J337" t="inlineStr"/>
    </row>
    <row r="338">
      <c r="A338" s="5" t="n">
        <v>45852</v>
      </c>
      <c r="B338" t="inlineStr">
        <is>
          <t>Card Withdrawals - Debit Purchase - VISA On 071025 BELLEVILLE IL 2100429130</t>
        </is>
      </c>
      <c r="C338" t="n">
        <v>14.6</v>
      </c>
      <c r="D338" t="inlineStr">
        <is>
          <t>Debit</t>
        </is>
      </c>
      <c r="E338" t="inlineStr">
        <is>
          <t>Tools</t>
        </is>
      </c>
      <c r="F338">
        <f>IF(E338="Income","Revenue",IF(OR(E338="Materials",E338="Labor",E338="Dump Fees"),"COGS",IF(OR(E338="Fuel",E338="Insurance",E338="Tools",E338="Repairs"),"Expense","Non-Deductible")))</f>
        <v/>
      </c>
      <c r="G338" t="inlineStr">
        <is>
          <t>Expense</t>
        </is>
      </c>
      <c r="H338">
        <f>IF(G338&lt;&gt;F338,"YES","NO")</f>
        <v/>
      </c>
      <c r="I338" t="inlineStr"/>
      <c r="J338" t="inlineStr"/>
    </row>
    <row r="339">
      <c r="A339" s="5" t="n">
        <v>45852</v>
      </c>
      <c r="B339" t="inlineStr">
        <is>
          <t>Card Withdrawals - Debit Purchase - VISA On 071025 FAIRVIEW HEI IL 3101124536</t>
        </is>
      </c>
      <c r="C339" t="n">
        <v>25.99</v>
      </c>
      <c r="D339" t="inlineStr">
        <is>
          <t>Debit</t>
        </is>
      </c>
      <c r="E339" t="inlineStr">
        <is>
          <t>Tools</t>
        </is>
      </c>
      <c r="F339">
        <f>IF(E339="Income","Revenue",IF(OR(E339="Materials",E339="Labor",E339="Dump Fees"),"COGS",IF(OR(E339="Fuel",E339="Insurance",E339="Tools",E339="Repairs"),"Expense","Non-Deductible")))</f>
        <v/>
      </c>
      <c r="G339" t="inlineStr">
        <is>
          <t>Expense</t>
        </is>
      </c>
      <c r="H339">
        <f>IF(G339&lt;&gt;F339,"YES","NO")</f>
        <v/>
      </c>
      <c r="I339" t="inlineStr"/>
      <c r="J339" t="inlineStr"/>
    </row>
    <row r="340">
      <c r="A340" s="5" t="n">
        <v>45852</v>
      </c>
      <c r="B340" t="inlineStr">
        <is>
          <t>Card Withdrawals - Debit Purchase - VISA On 071025 FAIRVIEW HEI IL 3404596959</t>
        </is>
      </c>
      <c r="C340" t="n">
        <v>63</v>
      </c>
      <c r="D340" t="inlineStr">
        <is>
          <t>Debit</t>
        </is>
      </c>
      <c r="E340" t="inlineStr">
        <is>
          <t>Tools</t>
        </is>
      </c>
      <c r="F340">
        <f>IF(E340="Income","Revenue",IF(OR(E340="Materials",E340="Labor",E340="Dump Fees"),"COGS",IF(OR(E340="Fuel",E340="Insurance",E340="Tools",E340="Repairs"),"Expense","Non-Deductible")))</f>
        <v/>
      </c>
      <c r="G340" t="inlineStr">
        <is>
          <t>Expense</t>
        </is>
      </c>
      <c r="H340">
        <f>IF(G340&lt;&gt;F340,"YES","NO")</f>
        <v/>
      </c>
      <c r="I340" t="inlineStr"/>
      <c r="J340" t="inlineStr"/>
    </row>
    <row r="341">
      <c r="A341" s="5" t="n">
        <v>45852</v>
      </c>
      <c r="B341" t="inlineStr">
        <is>
          <t>Card Withdrawals - Debit Purchase - VISA On 071025 FAIRVIEW HTS IL 2243783225</t>
        </is>
      </c>
      <c r="C341" t="n">
        <v>137.18</v>
      </c>
      <c r="D341" t="inlineStr">
        <is>
          <t>Debit</t>
        </is>
      </c>
      <c r="E341" t="inlineStr">
        <is>
          <t>Tools</t>
        </is>
      </c>
      <c r="F341">
        <f>IF(E341="Income","Revenue",IF(OR(E341="Materials",E341="Labor",E341="Dump Fees"),"COGS",IF(OR(E341="Fuel",E341="Insurance",E341="Tools",E341="Repairs"),"Expense","Non-Deductible")))</f>
        <v/>
      </c>
      <c r="G341" t="inlineStr">
        <is>
          <t>Expense</t>
        </is>
      </c>
      <c r="H341">
        <f>IF(G341&lt;&gt;F341,"YES","NO")</f>
        <v/>
      </c>
      <c r="I341" t="inlineStr"/>
      <c r="J341" t="inlineStr"/>
    </row>
    <row r="342">
      <c r="A342" s="5" t="n">
        <v>45852</v>
      </c>
      <c r="B342" t="inlineStr">
        <is>
          <t>Card Withdrawals - Debit Purchase - VISA On 071025 NEW ATHENS IL 2300709482</t>
        </is>
      </c>
      <c r="C342" t="n">
        <v>77.76000000000001</v>
      </c>
      <c r="D342" t="inlineStr">
        <is>
          <t>Debit</t>
        </is>
      </c>
      <c r="E342" t="inlineStr">
        <is>
          <t>Tools</t>
        </is>
      </c>
      <c r="F342">
        <f>IF(E342="Income","Revenue",IF(OR(E342="Materials",E342="Labor",E342="Dump Fees"),"COGS",IF(OR(E342="Fuel",E342="Insurance",E342="Tools",E342="Repairs"),"Expense","Non-Deductible")))</f>
        <v/>
      </c>
      <c r="G342" t="inlineStr">
        <is>
          <t>Expense</t>
        </is>
      </c>
      <c r="H342">
        <f>IF(G342&lt;&gt;F342,"YES","NO")</f>
        <v/>
      </c>
      <c r="I342" t="inlineStr"/>
      <c r="J342" t="inlineStr"/>
    </row>
    <row r="343">
      <c r="A343" s="5" t="n">
        <v>45852</v>
      </c>
      <c r="B343" t="inlineStr">
        <is>
          <t>Card Withdrawals - Debit Purchase - VISA On 071125 FAIRVIEW HEI IL 4405735017</t>
        </is>
      </c>
      <c r="C343" t="n">
        <v>71.95</v>
      </c>
      <c r="D343" t="inlineStr">
        <is>
          <t>Debit</t>
        </is>
      </c>
      <c r="E343" t="inlineStr">
        <is>
          <t>Tools</t>
        </is>
      </c>
      <c r="F343">
        <f>IF(E343="Income","Revenue",IF(OR(E343="Materials",E343="Labor",E343="Dump Fees"),"COGS",IF(OR(E343="Fuel",E343="Insurance",E343="Tools",E343="Repairs"),"Expense","Non-Deductible")))</f>
        <v/>
      </c>
      <c r="G343" t="inlineStr">
        <is>
          <t>Expense</t>
        </is>
      </c>
      <c r="H343">
        <f>IF(G343&lt;&gt;F343,"YES","NO")</f>
        <v/>
      </c>
      <c r="I343" t="inlineStr"/>
      <c r="J343" t="inlineStr"/>
    </row>
    <row r="344">
      <c r="A344" s="5" t="n">
        <v>45852</v>
      </c>
      <c r="B344" t="inlineStr">
        <is>
          <t>Card Withdrawals - Debit Purchase - VISA On 071125 O'FALLON IL 4052300445</t>
        </is>
      </c>
      <c r="C344" t="n">
        <v>168.18</v>
      </c>
      <c r="D344" t="inlineStr">
        <is>
          <t>Debit</t>
        </is>
      </c>
      <c r="E344" t="inlineStr">
        <is>
          <t>Tools</t>
        </is>
      </c>
      <c r="F344">
        <f>IF(E344="Income","Revenue",IF(OR(E344="Materials",E344="Labor",E344="Dump Fees"),"COGS",IF(OR(E344="Fuel",E344="Insurance",E344="Tools",E344="Repairs"),"Expense","Non-Deductible")))</f>
        <v/>
      </c>
      <c r="G344" t="inlineStr">
        <is>
          <t>Expense</t>
        </is>
      </c>
      <c r="H344">
        <f>IF(G344&lt;&gt;F344,"YES","NO")</f>
        <v/>
      </c>
      <c r="I344" t="inlineStr"/>
      <c r="J344" t="inlineStr"/>
    </row>
    <row r="345">
      <c r="A345" s="5" t="n">
        <v>45852</v>
      </c>
      <c r="B345" t="inlineStr">
        <is>
          <t>Card Withdrawals - Debit Purchase - VISA On 071225 OFallon IL 4102422557</t>
        </is>
      </c>
      <c r="C345" t="n">
        <v>90.56999999999999</v>
      </c>
      <c r="D345" t="inlineStr">
        <is>
          <t>Debit</t>
        </is>
      </c>
      <c r="E345" t="inlineStr">
        <is>
          <t>Tools</t>
        </is>
      </c>
      <c r="F345">
        <f>IF(E345="Income","Revenue",IF(OR(E345="Materials",E345="Labor",E345="Dump Fees"),"COGS",IF(OR(E345="Fuel",E345="Insurance",E345="Tools",E345="Repairs"),"Expense","Non-Deductible")))</f>
        <v/>
      </c>
      <c r="G345" t="inlineStr">
        <is>
          <t>Expense</t>
        </is>
      </c>
      <c r="H345">
        <f>IF(G345&lt;&gt;F345,"YES","NO")</f>
        <v/>
      </c>
      <c r="I345" t="inlineStr"/>
      <c r="J345" t="inlineStr"/>
    </row>
    <row r="346">
      <c r="A346" s="5" t="n">
        <v>45852</v>
      </c>
      <c r="B346" t="inlineStr">
        <is>
          <t>Card Withdrawals - Debit Purchase - VISA On 071325 FREEBURG IL 4300750536</t>
        </is>
      </c>
      <c r="C346" t="n">
        <v>43.48</v>
      </c>
      <c r="D346" t="inlineStr">
        <is>
          <t>Debit</t>
        </is>
      </c>
      <c r="E346" t="inlineStr">
        <is>
          <t>Tools</t>
        </is>
      </c>
      <c r="F346">
        <f>IF(E346="Income","Revenue",IF(OR(E346="Materials",E346="Labor",E346="Dump Fees"),"COGS",IF(OR(E346="Fuel",E346="Insurance",E346="Tools",E346="Repairs"),"Expense","Non-Deductible")))</f>
        <v/>
      </c>
      <c r="G346" t="inlineStr">
        <is>
          <t>Expense</t>
        </is>
      </c>
      <c r="H346">
        <f>IF(G346&lt;&gt;F346,"YES","NO")</f>
        <v/>
      </c>
      <c r="I346" t="inlineStr"/>
      <c r="J346" t="inlineStr"/>
    </row>
    <row r="347">
      <c r="A347" s="5" t="n">
        <v>45852</v>
      </c>
      <c r="B347" t="inlineStr">
        <is>
          <t>Card Withdrawals - Debit Purchase TRACTOR SUPPLY # BELLEVILLE IL 0707140918</t>
        </is>
      </c>
      <c r="C347" t="n">
        <v>46.97</v>
      </c>
      <c r="D347" t="inlineStr">
        <is>
          <t>Debit</t>
        </is>
      </c>
      <c r="E347" t="inlineStr">
        <is>
          <t>Tools</t>
        </is>
      </c>
      <c r="F347">
        <f>IF(E347="Income","Revenue",IF(OR(E347="Materials",E347="Labor",E347="Dump Fees"),"COGS",IF(OR(E347="Fuel",E347="Insurance",E347="Tools",E347="Repairs"),"Expense","Non-Deductible")))</f>
        <v/>
      </c>
      <c r="G347" t="inlineStr">
        <is>
          <t>Expense</t>
        </is>
      </c>
      <c r="H347">
        <f>IF(G347&lt;&gt;F347,"YES","NO")</f>
        <v/>
      </c>
      <c r="I347" t="inlineStr"/>
      <c r="J347" t="inlineStr"/>
    </row>
    <row r="348">
      <c r="A348" s="5" t="n">
        <v>45852</v>
      </c>
      <c r="B348" t="inlineStr">
        <is>
          <t>Other Withdrawals - Electronic Withdrawal To BEST BUY</t>
        </is>
      </c>
      <c r="C348" t="n">
        <v>200</v>
      </c>
      <c r="D348" t="inlineStr">
        <is>
          <t>Debit</t>
        </is>
      </c>
      <c r="E348" t="inlineStr">
        <is>
          <t>Tools</t>
        </is>
      </c>
      <c r="F348">
        <f>IF(E348="Income","Revenue",IF(OR(E348="Materials",E348="Labor",E348="Dump Fees"),"COGS",IF(OR(E348="Fuel",E348="Insurance",E348="Tools",E348="Repairs"),"Expense","Non-Deductible")))</f>
        <v/>
      </c>
      <c r="G348" t="inlineStr">
        <is>
          <t>Expense</t>
        </is>
      </c>
      <c r="H348">
        <f>IF(G348&lt;&gt;F348,"YES","NO")</f>
        <v/>
      </c>
      <c r="I348" t="inlineStr"/>
      <c r="J348" t="inlineStr"/>
    </row>
    <row r="349">
      <c r="A349" s="5" t="n">
        <v>45852</v>
      </c>
      <c r="B349" t="inlineStr">
        <is>
          <t>Other Withdrawals - Electronic Withdrawal To DISCOVER</t>
        </is>
      </c>
      <c r="C349" t="n">
        <v>1000</v>
      </c>
      <c r="D349" t="inlineStr">
        <is>
          <t>Debit</t>
        </is>
      </c>
      <c r="E349" t="inlineStr">
        <is>
          <t>Tools</t>
        </is>
      </c>
      <c r="F349">
        <f>IF(E349="Income","Revenue",IF(OR(E349="Materials",E349="Labor",E349="Dump Fees"),"COGS",IF(OR(E349="Fuel",E349="Insurance",E349="Tools",E349="Repairs"),"Expense","Non-Deductible")))</f>
        <v/>
      </c>
      <c r="G349" t="inlineStr">
        <is>
          <t>Expense</t>
        </is>
      </c>
      <c r="H349">
        <f>IF(G349&lt;&gt;F349,"YES","NO")</f>
        <v/>
      </c>
      <c r="I349" t="inlineStr"/>
      <c r="J349" t="inlineStr"/>
    </row>
    <row r="350">
      <c r="A350" s="5" t="n">
        <v>45852</v>
      </c>
      <c r="B350" t="inlineStr">
        <is>
          <t>Other Withdrawals - Mobile Banking Payment To Credit Card *************3424</t>
        </is>
      </c>
      <c r="C350" t="n">
        <v>1000</v>
      </c>
      <c r="D350" t="inlineStr">
        <is>
          <t>Debit</t>
        </is>
      </c>
      <c r="E350" t="inlineStr">
        <is>
          <t>Fuel</t>
        </is>
      </c>
      <c r="F350">
        <f>IF(E350="Income","Revenue",IF(OR(E350="Materials",E350="Labor",E350="Dump Fees"),"COGS",IF(OR(E350="Fuel",E350="Insurance",E350="Tools",E350="Repairs"),"Expense","Non-Deductible")))</f>
        <v/>
      </c>
      <c r="G350" t="inlineStr">
        <is>
          <t>Expense</t>
        </is>
      </c>
      <c r="H350">
        <f>IF(G350&lt;&gt;F350,"YES","NO")</f>
        <v/>
      </c>
      <c r="I350" t="inlineStr"/>
      <c r="J350" t="inlineStr"/>
    </row>
    <row r="351">
      <c r="A351" s="5" t="n">
        <v>45853</v>
      </c>
      <c r="B351" t="inlineStr">
        <is>
          <t>Card Withdrawals - Debit Purchase - VISA On 071425 FREEBURG IL 5720245640</t>
        </is>
      </c>
      <c r="C351" t="n">
        <v>12.55</v>
      </c>
      <c r="D351" t="inlineStr">
        <is>
          <t>Debit</t>
        </is>
      </c>
      <c r="E351" t="inlineStr">
        <is>
          <t>Tools</t>
        </is>
      </c>
      <c r="F351">
        <f>IF(E351="Income","Revenue",IF(OR(E351="Materials",E351="Labor",E351="Dump Fees"),"COGS",IF(OR(E351="Fuel",E351="Insurance",E351="Tools",E351="Repairs"),"Expense","Non-Deductible")))</f>
        <v/>
      </c>
      <c r="G351" t="inlineStr">
        <is>
          <t>Expense</t>
        </is>
      </c>
      <c r="H351">
        <f>IF(G351&lt;&gt;F351,"YES","NO")</f>
        <v/>
      </c>
      <c r="I351" t="inlineStr"/>
      <c r="J351" t="inlineStr"/>
    </row>
    <row r="352">
      <c r="A352" s="5" t="n">
        <v>45853</v>
      </c>
      <c r="B352" t="inlineStr">
        <is>
          <t>Card Withdrawals - Debit Purchase - VISA On 071425 Freeburg IL 5004389641</t>
        </is>
      </c>
      <c r="C352" t="n">
        <v>27.33</v>
      </c>
      <c r="D352" t="inlineStr">
        <is>
          <t>Debit</t>
        </is>
      </c>
      <c r="E352" t="inlineStr">
        <is>
          <t>Tools</t>
        </is>
      </c>
      <c r="F352">
        <f>IF(E352="Income","Revenue",IF(OR(E352="Materials",E352="Labor",E352="Dump Fees"),"COGS",IF(OR(E352="Fuel",E352="Insurance",E352="Tools",E352="Repairs"),"Expense","Non-Deductible")))</f>
        <v/>
      </c>
      <c r="G352" t="inlineStr">
        <is>
          <t>Expense</t>
        </is>
      </c>
      <c r="H352">
        <f>IF(G352&lt;&gt;F352,"YES","NO")</f>
        <v/>
      </c>
      <c r="I352" t="inlineStr"/>
      <c r="J352" t="inlineStr"/>
    </row>
    <row r="353">
      <c r="A353" s="5" t="n">
        <v>45853</v>
      </c>
      <c r="B353" t="inlineStr">
        <is>
          <t>Card Withdrawals - Debit Purchase - VISA On 071425 freeburg IL 5103403306</t>
        </is>
      </c>
      <c r="C353" t="n">
        <v>4.52</v>
      </c>
      <c r="D353" t="inlineStr">
        <is>
          <t>Debit</t>
        </is>
      </c>
      <c r="E353" t="inlineStr">
        <is>
          <t>Tools</t>
        </is>
      </c>
      <c r="F353">
        <f>IF(E353="Income","Revenue",IF(OR(E353="Materials",E353="Labor",E353="Dump Fees"),"COGS",IF(OR(E353="Fuel",E353="Insurance",E353="Tools",E353="Repairs"),"Expense","Non-Deductible")))</f>
        <v/>
      </c>
      <c r="G353" t="inlineStr">
        <is>
          <t>Expense</t>
        </is>
      </c>
      <c r="H353">
        <f>IF(G353&lt;&gt;F353,"YES","NO")</f>
        <v/>
      </c>
      <c r="I353" t="inlineStr"/>
      <c r="J353" t="inlineStr"/>
    </row>
    <row r="354">
      <c r="A354" s="5" t="n">
        <v>45853</v>
      </c>
      <c r="B354" t="inlineStr">
        <is>
          <t>Card Withdrawals - Debit Purchase CASEYS #2897 705 MASCOUTAH IL 9707151442</t>
        </is>
      </c>
      <c r="C354" t="n">
        <v>7.06</v>
      </c>
      <c r="D354" t="inlineStr">
        <is>
          <t>Debit</t>
        </is>
      </c>
      <c r="E354" t="inlineStr">
        <is>
          <t>Labor</t>
        </is>
      </c>
      <c r="F354">
        <f>IF(E354="Income","Revenue",IF(OR(E354="Materials",E354="Labor",E354="Dump Fees"),"COGS",IF(OR(E354="Fuel",E354="Insurance",E354="Tools",E354="Repairs"),"Expense","Non-Deductible")))</f>
        <v/>
      </c>
      <c r="G354" t="inlineStr">
        <is>
          <t>COGS</t>
        </is>
      </c>
      <c r="H354">
        <f>IF(G354&lt;&gt;F354,"YES","NO")</f>
        <v/>
      </c>
      <c r="I354" t="inlineStr"/>
      <c r="J354" t="inlineStr">
        <is>
          <t>Casey</t>
        </is>
      </c>
    </row>
    <row r="355">
      <c r="A355" s="5" t="n">
        <v>45853</v>
      </c>
      <c r="B355" t="inlineStr">
        <is>
          <t>Other Withdrawals - Analysis Service Charge 1500000000</t>
        </is>
      </c>
      <c r="C355" t="n">
        <v>17.16</v>
      </c>
      <c r="D355" t="inlineStr">
        <is>
          <t>Debit</t>
        </is>
      </c>
      <c r="E355" t="inlineStr">
        <is>
          <t>Repairs</t>
        </is>
      </c>
      <c r="F355">
        <f>IF(E355="Income","Revenue",IF(OR(E355="Materials",E355="Labor",E355="Dump Fees"),"COGS",IF(OR(E355="Fuel",E355="Insurance",E355="Tools",E355="Repairs"),"Expense","Non-Deductible")))</f>
        <v/>
      </c>
      <c r="G355" t="inlineStr">
        <is>
          <t>Expense</t>
        </is>
      </c>
      <c r="H355">
        <f>IF(G355&lt;&gt;F355,"YES","NO")</f>
        <v/>
      </c>
      <c r="I355" t="inlineStr"/>
      <c r="J355" t="inlineStr"/>
    </row>
    <row r="356">
      <c r="A356" s="5" t="n">
        <v>45853</v>
      </c>
      <c r="B356" t="inlineStr">
        <is>
          <t>Other Withdrawals - Mobile Banking Transfer To Account 152316875235</t>
        </is>
      </c>
      <c r="C356" t="n">
        <v>350</v>
      </c>
      <c r="D356" t="inlineStr">
        <is>
          <t>Debit</t>
        </is>
      </c>
      <c r="E356" t="inlineStr">
        <is>
          <t>Transfer</t>
        </is>
      </c>
      <c r="F356">
        <f>IF(E356="Income","Revenue",IF(OR(E356="Materials",E356="Labor",E356="Dump Fees"),"COGS",IF(OR(E356="Fuel",E356="Insurance",E356="Tools",E356="Repairs"),"Expense","Non-Deductible")))</f>
        <v/>
      </c>
      <c r="G356" t="inlineStr">
        <is>
          <t>Non-Deductible</t>
        </is>
      </c>
      <c r="H356">
        <f>IF(G356&lt;&gt;F356,"YES","NO")</f>
        <v/>
      </c>
      <c r="I356" t="inlineStr"/>
      <c r="J356" t="inlineStr"/>
    </row>
    <row r="357">
      <c r="A357" s="5" t="n">
        <v>45854</v>
      </c>
      <c r="B357" t="inlineStr">
        <is>
          <t>Card Withdrawals - Debit Purchase - VISA On 071525 FREEBURG IL 6720246713</t>
        </is>
      </c>
      <c r="C357" t="n">
        <v>5.31</v>
      </c>
      <c r="D357" t="inlineStr">
        <is>
          <t>Debit</t>
        </is>
      </c>
      <c r="E357" t="inlineStr">
        <is>
          <t>Tools</t>
        </is>
      </c>
      <c r="F357">
        <f>IF(E357="Income","Revenue",IF(OR(E357="Materials",E357="Labor",E357="Dump Fees"),"COGS",IF(OR(E357="Fuel",E357="Insurance",E357="Tools",E357="Repairs"),"Expense","Non-Deductible")))</f>
        <v/>
      </c>
      <c r="G357" t="inlineStr">
        <is>
          <t>Expense</t>
        </is>
      </c>
      <c r="H357">
        <f>IF(G357&lt;&gt;F357,"YES","NO")</f>
        <v/>
      </c>
      <c r="I357" t="inlineStr"/>
      <c r="J357" t="inlineStr"/>
    </row>
    <row r="358">
      <c r="A358" s="5" t="n">
        <v>45854</v>
      </c>
      <c r="B358" t="inlineStr">
        <is>
          <t>Other Deposits - Debit Purchase Ret - VISA On 071525 BELLEVILLE IL 6018202101</t>
        </is>
      </c>
      <c r="C358" t="n">
        <v>50</v>
      </c>
      <c r="D358" t="inlineStr">
        <is>
          <t>Credit</t>
        </is>
      </c>
      <c r="E358" t="inlineStr">
        <is>
          <t>Income</t>
        </is>
      </c>
      <c r="F358">
        <f>IF(E358="Income","Revenue",IF(OR(E358="Materials",E358="Labor",E358="Dump Fees"),"COGS",IF(OR(E358="Fuel",E358="Insurance",E358="Tools",E358="Repairs"),"Expense","Non-Deductible")))</f>
        <v/>
      </c>
      <c r="G358" t="inlineStr">
        <is>
          <t>Revenue</t>
        </is>
      </c>
      <c r="H358">
        <f>IF(G358&lt;&gt;F358,"YES","NO")</f>
        <v/>
      </c>
      <c r="I358" t="inlineStr"/>
      <c r="J358" t="inlineStr"/>
    </row>
    <row r="359">
      <c r="A359" s="5" t="n">
        <v>45855</v>
      </c>
      <c r="B359" t="inlineStr">
        <is>
          <t>Card Withdrawals - Debit Purchase - VISA On 071525 618-2834559 IL 7073408677</t>
        </is>
      </c>
      <c r="C359" t="n">
        <v>29.39</v>
      </c>
      <c r="D359" t="inlineStr">
        <is>
          <t>Debit</t>
        </is>
      </c>
      <c r="E359" t="inlineStr">
        <is>
          <t>Tools</t>
        </is>
      </c>
      <c r="F359">
        <f>IF(E359="Income","Revenue",IF(OR(E359="Materials",E359="Labor",E359="Dump Fees"),"COGS",IF(OR(E359="Fuel",E359="Insurance",E359="Tools",E359="Repairs"),"Expense","Non-Deductible")))</f>
        <v/>
      </c>
      <c r="G359" t="inlineStr">
        <is>
          <t>Expense</t>
        </is>
      </c>
      <c r="H359">
        <f>IF(G359&lt;&gt;F359,"YES","NO")</f>
        <v/>
      </c>
      <c r="I359" t="inlineStr"/>
      <c r="J359" t="inlineStr"/>
    </row>
    <row r="360">
      <c r="A360" s="5" t="n">
        <v>45855</v>
      </c>
      <c r="B360" t="inlineStr">
        <is>
          <t>Card Withdrawals - Debit Purchase - VISA On 071525 MASCOUTAH IL 7300651285</t>
        </is>
      </c>
      <c r="C360" t="n">
        <v>72.42</v>
      </c>
      <c r="D360" t="inlineStr">
        <is>
          <t>Debit</t>
        </is>
      </c>
      <c r="E360" t="inlineStr">
        <is>
          <t>Tools</t>
        </is>
      </c>
      <c r="F360">
        <f>IF(E360="Income","Revenue",IF(OR(E360="Materials",E360="Labor",E360="Dump Fees"),"COGS",IF(OR(E360="Fuel",E360="Insurance",E360="Tools",E360="Repairs"),"Expense","Non-Deductible")))</f>
        <v/>
      </c>
      <c r="G360" t="inlineStr">
        <is>
          <t>Expense</t>
        </is>
      </c>
      <c r="H360">
        <f>IF(G360&lt;&gt;F360,"YES","NO")</f>
        <v/>
      </c>
      <c r="I360" t="inlineStr"/>
      <c r="J360" t="inlineStr"/>
    </row>
    <row r="361">
      <c r="A361" s="5" t="n">
        <v>45855</v>
      </c>
      <c r="B361" t="inlineStr">
        <is>
          <t>Card Withdrawals - Debit Purchase WALGREENS STORE BELLEVILLE IL 5007171205</t>
        </is>
      </c>
      <c r="C361" t="n">
        <v>31.18</v>
      </c>
      <c r="D361" t="inlineStr">
        <is>
          <t>Debit</t>
        </is>
      </c>
      <c r="E361" t="inlineStr">
        <is>
          <t>Tools</t>
        </is>
      </c>
      <c r="F361">
        <f>IF(E361="Income","Revenue",IF(OR(E361="Materials",E361="Labor",E361="Dump Fees"),"COGS",IF(OR(E361="Fuel",E361="Insurance",E361="Tools",E361="Repairs"),"Expense","Non-Deductible")))</f>
        <v/>
      </c>
      <c r="G361" t="inlineStr">
        <is>
          <t>Expense</t>
        </is>
      </c>
      <c r="H361">
        <f>IF(G361&lt;&gt;F361,"YES","NO")</f>
        <v/>
      </c>
      <c r="I361" t="inlineStr"/>
      <c r="J361" t="inlineStr"/>
    </row>
    <row r="362">
      <c r="A362" s="5" t="n">
        <v>45855</v>
      </c>
      <c r="B362" t="inlineStr">
        <is>
          <t>Other Deposits - Mobile Check Deposit 8912148678</t>
        </is>
      </c>
      <c r="C362" t="n">
        <v>1500</v>
      </c>
      <c r="D362" t="inlineStr">
        <is>
          <t>Credit</t>
        </is>
      </c>
      <c r="E362" t="inlineStr">
        <is>
          <t>Income</t>
        </is>
      </c>
      <c r="F362">
        <f>IF(E362="Income","Revenue",IF(OR(E362="Materials",E362="Labor",E362="Dump Fees"),"COGS",IF(OR(E362="Fuel",E362="Insurance",E362="Tools",E362="Repairs"),"Expense","Non-Deductible")))</f>
        <v/>
      </c>
      <c r="G362" t="inlineStr">
        <is>
          <t>Revenue</t>
        </is>
      </c>
      <c r="H362">
        <f>IF(G362&lt;&gt;F362,"YES","NO")</f>
        <v/>
      </c>
      <c r="I362" t="inlineStr"/>
      <c r="J362" t="inlineStr"/>
    </row>
    <row r="363">
      <c r="A363" s="5" t="n">
        <v>45855</v>
      </c>
      <c r="B363" t="inlineStr">
        <is>
          <t>Other Deposits - Mobile Check Deposit 8912186795</t>
        </is>
      </c>
      <c r="C363" t="n">
        <v>817</v>
      </c>
      <c r="D363" t="inlineStr">
        <is>
          <t>Credit</t>
        </is>
      </c>
      <c r="E363" t="inlineStr">
        <is>
          <t>Income</t>
        </is>
      </c>
      <c r="F363">
        <f>IF(E363="Income","Revenue",IF(OR(E363="Materials",E363="Labor",E363="Dump Fees"),"COGS",IF(OR(E363="Fuel",E363="Insurance",E363="Tools",E363="Repairs"),"Expense","Non-Deductible")))</f>
        <v/>
      </c>
      <c r="G363" t="inlineStr">
        <is>
          <t>Revenue</t>
        </is>
      </c>
      <c r="H363">
        <f>IF(G363&lt;&gt;F363,"YES","NO")</f>
        <v/>
      </c>
      <c r="I363" t="inlineStr"/>
      <c r="J363" t="inlineStr"/>
    </row>
    <row r="364">
      <c r="A364" s="5" t="n">
        <v>45855</v>
      </c>
      <c r="B364" t="inlineStr">
        <is>
          <t>Other Deposits - Mobile Check Deposit 8912740814</t>
        </is>
      </c>
      <c r="C364" t="n">
        <v>2850</v>
      </c>
      <c r="D364" t="inlineStr">
        <is>
          <t>Credit</t>
        </is>
      </c>
      <c r="E364" t="inlineStr">
        <is>
          <t>Income</t>
        </is>
      </c>
      <c r="F364">
        <f>IF(E364="Income","Revenue",IF(OR(E364="Materials",E364="Labor",E364="Dump Fees"),"COGS",IF(OR(E364="Fuel",E364="Insurance",E364="Tools",E364="Repairs"),"Expense","Non-Deductible")))</f>
        <v/>
      </c>
      <c r="G364" t="inlineStr">
        <is>
          <t>Revenue</t>
        </is>
      </c>
      <c r="H364">
        <f>IF(G364&lt;&gt;F364,"YES","NO")</f>
        <v/>
      </c>
      <c r="I364" t="inlineStr"/>
      <c r="J364" t="inlineStr"/>
    </row>
    <row r="365">
      <c r="A365" s="5" t="n">
        <v>45855</v>
      </c>
      <c r="B365" t="inlineStr">
        <is>
          <t>Other Withdrawals - Electronic Withdrawal To MERCURY CARD FBT</t>
        </is>
      </c>
      <c r="C365" t="n">
        <v>500</v>
      </c>
      <c r="D365" t="inlineStr">
        <is>
          <t>Debit</t>
        </is>
      </c>
      <c r="E365" t="inlineStr">
        <is>
          <t>Tools</t>
        </is>
      </c>
      <c r="F365">
        <f>IF(E365="Income","Revenue",IF(OR(E365="Materials",E365="Labor",E365="Dump Fees"),"COGS",IF(OR(E365="Fuel",E365="Insurance",E365="Tools",E365="Repairs"),"Expense","Non-Deductible")))</f>
        <v/>
      </c>
      <c r="G365" t="inlineStr">
        <is>
          <t>Expense</t>
        </is>
      </c>
      <c r="H365">
        <f>IF(G365&lt;&gt;F365,"YES","NO")</f>
        <v/>
      </c>
      <c r="I365" t="inlineStr"/>
      <c r="J365" t="inlineStr"/>
    </row>
    <row r="366">
      <c r="A366" s="5" t="n">
        <v>45856</v>
      </c>
      <c r="B366" t="inlineStr">
        <is>
          <t>Card Withdrawals - ATM Withdrawal 1291 OLD BALDWIN NEW ATHENS IL</t>
        </is>
      </c>
      <c r="C366" t="n">
        <v>303.25</v>
      </c>
      <c r="D366" t="inlineStr">
        <is>
          <t>Debit</t>
        </is>
      </c>
      <c r="E366" t="inlineStr">
        <is>
          <t>Tools</t>
        </is>
      </c>
      <c r="F366">
        <f>IF(E366="Income","Revenue",IF(OR(E366="Materials",E366="Labor",E366="Dump Fees"),"COGS",IF(OR(E366="Fuel",E366="Insurance",E366="Tools",E366="Repairs"),"Expense","Non-Deductible")))</f>
        <v/>
      </c>
      <c r="G366" t="inlineStr">
        <is>
          <t>Expense</t>
        </is>
      </c>
      <c r="H366">
        <f>IF(G366&lt;&gt;F366,"YES","NO")</f>
        <v/>
      </c>
      <c r="I366" t="inlineStr"/>
      <c r="J366" t="inlineStr"/>
    </row>
    <row r="367">
      <c r="A367" s="5" t="n">
        <v>45856</v>
      </c>
      <c r="B367" t="inlineStr">
        <is>
          <t>Card Withdrawals - Debit Purchase - VISA On 071625 BELLEVILLE IL 8106128150</t>
        </is>
      </c>
      <c r="C367" t="n">
        <v>44.68</v>
      </c>
      <c r="D367" t="inlineStr">
        <is>
          <t>Debit</t>
        </is>
      </c>
      <c r="E367" t="inlineStr">
        <is>
          <t>Tools</t>
        </is>
      </c>
      <c r="F367">
        <f>IF(E367="Income","Revenue",IF(OR(E367="Materials",E367="Labor",E367="Dump Fees"),"COGS",IF(OR(E367="Fuel",E367="Insurance",E367="Tools",E367="Repairs"),"Expense","Non-Deductible")))</f>
        <v/>
      </c>
      <c r="G367" t="inlineStr">
        <is>
          <t>Expense</t>
        </is>
      </c>
      <c r="H367">
        <f>IF(G367&lt;&gt;F367,"YES","NO")</f>
        <v/>
      </c>
      <c r="I367" t="inlineStr"/>
      <c r="J367" t="inlineStr"/>
    </row>
    <row r="368">
      <c r="A368" s="5" t="n">
        <v>45856</v>
      </c>
      <c r="B368" t="inlineStr">
        <is>
          <t>Card Withdrawals - Debit Purchase verifyvend855-55 PROVIDENCE RI 2007181541</t>
        </is>
      </c>
      <c r="C368" t="n">
        <v>164.37</v>
      </c>
      <c r="D368" t="inlineStr">
        <is>
          <t>Debit</t>
        </is>
      </c>
      <c r="E368" t="inlineStr">
        <is>
          <t>Tools</t>
        </is>
      </c>
      <c r="F368">
        <f>IF(E368="Income","Revenue",IF(OR(E368="Materials",E368="Labor",E368="Dump Fees"),"COGS",IF(OR(E368="Fuel",E368="Insurance",E368="Tools",E368="Repairs"),"Expense","Non-Deductible")))</f>
        <v/>
      </c>
      <c r="G368" t="inlineStr">
        <is>
          <t>Expense</t>
        </is>
      </c>
      <c r="H368">
        <f>IF(G368&lt;&gt;F368,"YES","NO")</f>
        <v/>
      </c>
      <c r="I368" t="inlineStr"/>
      <c r="J368" t="inlineStr"/>
    </row>
    <row r="369">
      <c r="A369" s="5" t="n">
        <v>45856</v>
      </c>
      <c r="B369" t="inlineStr">
        <is>
          <t>Card Withdrawals - Fee ATM Withdrawal At Other Network 1800000181 $</t>
        </is>
      </c>
      <c r="C369" t="n">
        <v>3</v>
      </c>
      <c r="D369" t="inlineStr">
        <is>
          <t>Debit</t>
        </is>
      </c>
      <c r="E369" t="inlineStr">
        <is>
          <t>Tools</t>
        </is>
      </c>
      <c r="F369">
        <f>IF(E369="Income","Revenue",IF(OR(E369="Materials",E369="Labor",E369="Dump Fees"),"COGS",IF(OR(E369="Fuel",E369="Insurance",E369="Tools",E369="Repairs"),"Expense","Non-Deductible")))</f>
        <v/>
      </c>
      <c r="G369" t="inlineStr">
        <is>
          <t>Expense</t>
        </is>
      </c>
      <c r="H369">
        <f>IF(G369&lt;&gt;F369,"YES","NO")</f>
        <v/>
      </c>
      <c r="I369" t="inlineStr"/>
      <c r="J369" t="inlineStr"/>
    </row>
    <row r="370">
      <c r="A370" s="5" t="n">
        <v>45856</v>
      </c>
      <c r="B370" t="inlineStr">
        <is>
          <t>Other Withdrawals - Mobile Banking Transfer To Account 152316875235</t>
        </is>
      </c>
      <c r="C370" t="n">
        <v>300</v>
      </c>
      <c r="D370" t="inlineStr">
        <is>
          <t>Debit</t>
        </is>
      </c>
      <c r="E370" t="inlineStr">
        <is>
          <t>Transfer</t>
        </is>
      </c>
      <c r="F370">
        <f>IF(E370="Income","Revenue",IF(OR(E370="Materials",E370="Labor",E370="Dump Fees"),"COGS",IF(OR(E370="Fuel",E370="Insurance",E370="Tools",E370="Repairs"),"Expense","Non-Deductible")))</f>
        <v/>
      </c>
      <c r="G370" t="inlineStr">
        <is>
          <t>Non-Deductible</t>
        </is>
      </c>
      <c r="H370">
        <f>IF(G370&lt;&gt;F370,"YES","NO")</f>
        <v/>
      </c>
      <c r="I370" t="inlineStr"/>
      <c r="J370" t="inlineStr"/>
    </row>
    <row r="371">
      <c r="A371" s="5" t="n">
        <v>45856</v>
      </c>
      <c r="B371" t="inlineStr">
        <is>
          <t>Other Withdrawals - Mobile Banking Transfer To Account 152316875235</t>
        </is>
      </c>
      <c r="C371" t="n">
        <v>500</v>
      </c>
      <c r="D371" t="inlineStr">
        <is>
          <t>Debit</t>
        </is>
      </c>
      <c r="E371" t="inlineStr">
        <is>
          <t>Transfer</t>
        </is>
      </c>
      <c r="F371">
        <f>IF(E371="Income","Revenue",IF(OR(E371="Materials",E371="Labor",E371="Dump Fees"),"COGS",IF(OR(E371="Fuel",E371="Insurance",E371="Tools",E371="Repairs"),"Expense","Non-Deductible")))</f>
        <v/>
      </c>
      <c r="G371" t="inlineStr">
        <is>
          <t>Non-Deductible</t>
        </is>
      </c>
      <c r="H371">
        <f>IF(G371&lt;&gt;F371,"YES","NO")</f>
        <v/>
      </c>
      <c r="I371" t="inlineStr"/>
      <c r="J371" t="inlineStr"/>
    </row>
    <row r="372">
      <c r="A372" s="5" t="n">
        <v>45856</v>
      </c>
      <c r="B372" t="inlineStr">
        <is>
          <t>Other Withdrawals - Zelle Instant PMT To Casey Williamson</t>
        </is>
      </c>
      <c r="C372" t="n">
        <v>850</v>
      </c>
      <c r="D372" t="inlineStr">
        <is>
          <t>Debit</t>
        </is>
      </c>
      <c r="E372" t="inlineStr">
        <is>
          <t>Labor</t>
        </is>
      </c>
      <c r="F372">
        <f>IF(E372="Income","Revenue",IF(OR(E372="Materials",E372="Labor",E372="Dump Fees"),"COGS",IF(OR(E372="Fuel",E372="Insurance",E372="Tools",E372="Repairs"),"Expense","Non-Deductible")))</f>
        <v/>
      </c>
      <c r="G372" t="inlineStr">
        <is>
          <t>COGS</t>
        </is>
      </c>
      <c r="H372">
        <f>IF(G372&lt;&gt;F372,"YES","NO")</f>
        <v/>
      </c>
      <c r="I372" t="inlineStr"/>
      <c r="J372" t="inlineStr">
        <is>
          <t>Casey</t>
        </is>
      </c>
    </row>
    <row r="373">
      <c r="A373" s="5" t="n">
        <v>45859</v>
      </c>
      <c r="B373" t="inlineStr">
        <is>
          <t>Card Withdrawals - Debit Purchase MNRD-OFALLON 117 O'FALLON IL 6407211204</t>
        </is>
      </c>
      <c r="C373" t="n">
        <v>144.94</v>
      </c>
      <c r="D373" t="inlineStr">
        <is>
          <t>Debit</t>
        </is>
      </c>
      <c r="E373" t="inlineStr">
        <is>
          <t>Tools</t>
        </is>
      </c>
      <c r="F373">
        <f>IF(E373="Income","Revenue",IF(OR(E373="Materials",E373="Labor",E373="Dump Fees"),"COGS",IF(OR(E373="Fuel",E373="Insurance",E373="Tools",E373="Repairs"),"Expense","Non-Deductible")))</f>
        <v/>
      </c>
      <c r="G373" t="inlineStr">
        <is>
          <t>Expense</t>
        </is>
      </c>
      <c r="H373">
        <f>IF(G373&lt;&gt;F373,"YES","NO")</f>
        <v/>
      </c>
      <c r="I373" t="inlineStr"/>
      <c r="J373" t="inlineStr"/>
    </row>
    <row r="374">
      <c r="A374" s="5" t="n">
        <v>45859</v>
      </c>
      <c r="B374" t="inlineStr">
        <is>
          <t>Other Withdrawals - Electronic Withdrawal To CATHOLIC CCU</t>
        </is>
      </c>
      <c r="C374" t="n">
        <v>572.5</v>
      </c>
      <c r="D374" t="inlineStr">
        <is>
          <t>Debit</t>
        </is>
      </c>
      <c r="E374" t="inlineStr">
        <is>
          <t>Tools</t>
        </is>
      </c>
      <c r="F374">
        <f>IF(E374="Income","Revenue",IF(OR(E374="Materials",E374="Labor",E374="Dump Fees"),"COGS",IF(OR(E374="Fuel",E374="Insurance",E374="Tools",E374="Repairs"),"Expense","Non-Deductible")))</f>
        <v/>
      </c>
      <c r="G374" t="inlineStr">
        <is>
          <t>Expense</t>
        </is>
      </c>
      <c r="H374">
        <f>IF(G374&lt;&gt;F374,"YES","NO")</f>
        <v/>
      </c>
      <c r="I374" t="inlineStr"/>
      <c r="J374" t="inlineStr"/>
    </row>
    <row r="375">
      <c r="A375" s="5" t="n">
        <v>45860</v>
      </c>
      <c r="B375" t="inlineStr">
        <is>
          <t>Card Withdrawals - Debit Purchase - VISA On 072125 BELLEVILLE IL 3001099244</t>
        </is>
      </c>
      <c r="C375" t="n">
        <v>14.17</v>
      </c>
      <c r="D375" t="inlineStr">
        <is>
          <t>Debit</t>
        </is>
      </c>
      <c r="E375" t="inlineStr">
        <is>
          <t>Tools</t>
        </is>
      </c>
      <c r="F375">
        <f>IF(E375="Income","Revenue",IF(OR(E375="Materials",E375="Labor",E375="Dump Fees"),"COGS",IF(OR(E375="Fuel",E375="Insurance",E375="Tools",E375="Repairs"),"Expense","Non-Deductible")))</f>
        <v/>
      </c>
      <c r="G375" t="inlineStr">
        <is>
          <t>Expense</t>
        </is>
      </c>
      <c r="H375">
        <f>IF(G375&lt;&gt;F375,"YES","NO")</f>
        <v/>
      </c>
      <c r="I375" t="inlineStr"/>
      <c r="J375" t="inlineStr"/>
    </row>
    <row r="376">
      <c r="A376" s="5" t="n">
        <v>45860</v>
      </c>
      <c r="B376" t="inlineStr">
        <is>
          <t>Card Withdrawals - Debit Purchase THE HOME DEPOT # BELLEVILLE IL 9207221619</t>
        </is>
      </c>
      <c r="C376" t="n">
        <v>267.04</v>
      </c>
      <c r="D376" t="inlineStr">
        <is>
          <t>Debit</t>
        </is>
      </c>
      <c r="E376" t="inlineStr">
        <is>
          <t>Materials</t>
        </is>
      </c>
      <c r="F376">
        <f>IF(E376="Income","Revenue",IF(OR(E376="Materials",E376="Labor",E376="Dump Fees"),"COGS",IF(OR(E376="Fuel",E376="Insurance",E376="Tools",E376="Repairs"),"Expense","Non-Deductible")))</f>
        <v/>
      </c>
      <c r="G376" t="inlineStr">
        <is>
          <t>COGS</t>
        </is>
      </c>
      <c r="H376">
        <f>IF(G376&lt;&gt;F376,"YES","NO")</f>
        <v/>
      </c>
      <c r="I376" t="inlineStr"/>
      <c r="J376" t="inlineStr"/>
    </row>
    <row r="377">
      <c r="A377" s="5" t="n">
        <v>45860</v>
      </c>
      <c r="B377" t="inlineStr">
        <is>
          <t>Other Deposits - Mobile Check Deposit 8314323869</t>
        </is>
      </c>
      <c r="C377" t="n">
        <v>4187</v>
      </c>
      <c r="D377" t="inlineStr">
        <is>
          <t>Credit</t>
        </is>
      </c>
      <c r="E377" t="inlineStr">
        <is>
          <t>Income</t>
        </is>
      </c>
      <c r="F377">
        <f>IF(E377="Income","Revenue",IF(OR(E377="Materials",E377="Labor",E377="Dump Fees"),"COGS",IF(OR(E377="Fuel",E377="Insurance",E377="Tools",E377="Repairs"),"Expense","Non-Deductible")))</f>
        <v/>
      </c>
      <c r="G377" t="inlineStr">
        <is>
          <t>Revenue</t>
        </is>
      </c>
      <c r="H377">
        <f>IF(G377&lt;&gt;F377,"YES","NO")</f>
        <v/>
      </c>
      <c r="I377" t="inlineStr"/>
      <c r="J377" t="inlineStr"/>
    </row>
    <row r="378">
      <c r="A378" s="5" t="n">
        <v>45861</v>
      </c>
      <c r="B378" t="inlineStr">
        <is>
          <t>Card Withdrawals - ATM Withdrawal 1291 FRANK SCOTT BELLEVILLE IL</t>
        </is>
      </c>
      <c r="C378" t="n">
        <v>203</v>
      </c>
      <c r="D378" t="inlineStr">
        <is>
          <t>Debit</t>
        </is>
      </c>
      <c r="E378" t="inlineStr">
        <is>
          <t>Tools</t>
        </is>
      </c>
      <c r="F378">
        <f>IF(E378="Income","Revenue",IF(OR(E378="Materials",E378="Labor",E378="Dump Fees"),"COGS",IF(OR(E378="Fuel",E378="Insurance",E378="Tools",E378="Repairs"),"Expense","Non-Deductible")))</f>
        <v/>
      </c>
      <c r="G378" t="inlineStr">
        <is>
          <t>Expense</t>
        </is>
      </c>
      <c r="H378">
        <f>IF(G378&lt;&gt;F378,"YES","NO")</f>
        <v/>
      </c>
      <c r="I378" t="inlineStr"/>
      <c r="J378" t="inlineStr"/>
    </row>
    <row r="379">
      <c r="A379" s="5" t="n">
        <v>45861</v>
      </c>
      <c r="B379" t="inlineStr">
        <is>
          <t>Card Withdrawals - Debit Purchase - VISA On 072125 NEW ATHENS IL 3300635640</t>
        </is>
      </c>
      <c r="C379" t="n">
        <v>89.61</v>
      </c>
      <c r="D379" t="inlineStr">
        <is>
          <t>Debit</t>
        </is>
      </c>
      <c r="E379" t="inlineStr">
        <is>
          <t>Tools</t>
        </is>
      </c>
      <c r="F379">
        <f>IF(E379="Income","Revenue",IF(OR(E379="Materials",E379="Labor",E379="Dump Fees"),"COGS",IF(OR(E379="Fuel",E379="Insurance",E379="Tools",E379="Repairs"),"Expense","Non-Deductible")))</f>
        <v/>
      </c>
      <c r="G379" t="inlineStr">
        <is>
          <t>Expense</t>
        </is>
      </c>
      <c r="H379">
        <f>IF(G379&lt;&gt;F379,"YES","NO")</f>
        <v/>
      </c>
      <c r="I379" t="inlineStr"/>
      <c r="J379" t="inlineStr"/>
    </row>
    <row r="380">
      <c r="A380" s="5" t="n">
        <v>45861</v>
      </c>
      <c r="B380" t="inlineStr">
        <is>
          <t>Card Withdrawals - Debit Purchase PETSMART # 1853 BELLEVILLE IL 7307231614</t>
        </is>
      </c>
      <c r="C380" t="n">
        <v>108.52</v>
      </c>
      <c r="D380" t="inlineStr">
        <is>
          <t>Debit</t>
        </is>
      </c>
      <c r="E380" t="inlineStr">
        <is>
          <t>Tools</t>
        </is>
      </c>
      <c r="F380">
        <f>IF(E380="Income","Revenue",IF(OR(E380="Materials",E380="Labor",E380="Dump Fees"),"COGS",IF(OR(E380="Fuel",E380="Insurance",E380="Tools",E380="Repairs"),"Expense","Non-Deductible")))</f>
        <v/>
      </c>
      <c r="G380" t="inlineStr">
        <is>
          <t>Expense</t>
        </is>
      </c>
      <c r="H380">
        <f>IF(G380&lt;&gt;F380,"YES","NO")</f>
        <v/>
      </c>
      <c r="I380" t="inlineStr"/>
      <c r="J380" t="inlineStr"/>
    </row>
    <row r="381">
      <c r="A381" s="5" t="n">
        <v>45861</v>
      </c>
      <c r="B381" t="inlineStr">
        <is>
          <t>Card Withdrawals - Fee ATM Withdrawal At Other Network 2300000116</t>
        </is>
      </c>
      <c r="C381" t="n">
        <v>3</v>
      </c>
      <c r="D381" t="inlineStr">
        <is>
          <t>Debit</t>
        </is>
      </c>
      <c r="E381" t="inlineStr">
        <is>
          <t>Tools</t>
        </is>
      </c>
      <c r="F381">
        <f>IF(E381="Income","Revenue",IF(OR(E381="Materials",E381="Labor",E381="Dump Fees"),"COGS",IF(OR(E381="Fuel",E381="Insurance",E381="Tools",E381="Repairs"),"Expense","Non-Deductible")))</f>
        <v/>
      </c>
      <c r="G381" t="inlineStr">
        <is>
          <t>Expense</t>
        </is>
      </c>
      <c r="H381">
        <f>IF(G381&lt;&gt;F381,"YES","NO")</f>
        <v/>
      </c>
      <c r="I381" t="inlineStr"/>
      <c r="J381" t="inlineStr"/>
    </row>
    <row r="382">
      <c r="A382" s="5" t="n">
        <v>45861</v>
      </c>
      <c r="B382" t="inlineStr">
        <is>
          <t>Other Deposits - Debit Purchase Return MNRD-OFAL 1179 C O'FALLON IL $</t>
        </is>
      </c>
      <c r="C382" t="n">
        <v>144.94</v>
      </c>
      <c r="D382" t="inlineStr">
        <is>
          <t>Credit</t>
        </is>
      </c>
      <c r="E382" t="inlineStr">
        <is>
          <t>Income</t>
        </is>
      </c>
      <c r="F382">
        <f>IF(E382="Income","Revenue",IF(OR(E382="Materials",E382="Labor",E382="Dump Fees"),"COGS",IF(OR(E382="Fuel",E382="Insurance",E382="Tools",E382="Repairs"),"Expense","Non-Deductible")))</f>
        <v/>
      </c>
      <c r="G382" t="inlineStr">
        <is>
          <t>Revenue</t>
        </is>
      </c>
      <c r="H382">
        <f>IF(G382&lt;&gt;F382,"YES","NO")</f>
        <v/>
      </c>
      <c r="I382" t="inlineStr"/>
      <c r="J382" t="inlineStr"/>
    </row>
    <row r="383">
      <c r="A383" s="5" t="n">
        <v>45861</v>
      </c>
      <c r="B383" t="inlineStr">
        <is>
          <t>Other Deposits - Mobile Check Deposit 8613052747</t>
        </is>
      </c>
      <c r="C383" t="n">
        <v>3500</v>
      </c>
      <c r="D383" t="inlineStr">
        <is>
          <t>Credit</t>
        </is>
      </c>
      <c r="E383" t="inlineStr">
        <is>
          <t>Income</t>
        </is>
      </c>
      <c r="F383">
        <f>IF(E383="Income","Revenue",IF(OR(E383="Materials",E383="Labor",E383="Dump Fees"),"COGS",IF(OR(E383="Fuel",E383="Insurance",E383="Tools",E383="Repairs"),"Expense","Non-Deductible")))</f>
        <v/>
      </c>
      <c r="G383" t="inlineStr">
        <is>
          <t>Revenue</t>
        </is>
      </c>
      <c r="H383">
        <f>IF(G383&lt;&gt;F383,"YES","NO")</f>
        <v/>
      </c>
      <c r="I383" t="inlineStr"/>
      <c r="J383" t="inlineStr"/>
    </row>
    <row r="384">
      <c r="A384" s="5" t="n">
        <v>45862</v>
      </c>
      <c r="B384" t="inlineStr">
        <is>
          <t>Card Withdrawals - Debit Purchase - VISA On 072225 FAIRVIEW HTS IL 4251637194</t>
        </is>
      </c>
      <c r="C384" t="n">
        <v>93.31999999999999</v>
      </c>
      <c r="D384" t="inlineStr">
        <is>
          <t>Debit</t>
        </is>
      </c>
      <c r="E384" t="inlineStr">
        <is>
          <t>Tools</t>
        </is>
      </c>
      <c r="F384">
        <f>IF(E384="Income","Revenue",IF(OR(E384="Materials",E384="Labor",E384="Dump Fees"),"COGS",IF(OR(E384="Fuel",E384="Insurance",E384="Tools",E384="Repairs"),"Expense","Non-Deductible")))</f>
        <v/>
      </c>
      <c r="G384" t="inlineStr">
        <is>
          <t>Expense</t>
        </is>
      </c>
      <c r="H384">
        <f>IF(G384&lt;&gt;F384,"YES","NO")</f>
        <v/>
      </c>
      <c r="I384" t="inlineStr"/>
      <c r="J384" t="inlineStr"/>
    </row>
    <row r="385">
      <c r="A385" s="5" t="n">
        <v>45862</v>
      </c>
      <c r="B385" t="inlineStr">
        <is>
          <t>Card Withdrawals - Debit Purchase - VISA On 072325 FREEBURG IL 4720247935</t>
        </is>
      </c>
      <c r="C385" t="n">
        <v>4.14</v>
      </c>
      <c r="D385" t="inlineStr">
        <is>
          <t>Debit</t>
        </is>
      </c>
      <c r="E385" t="inlineStr">
        <is>
          <t>Tools</t>
        </is>
      </c>
      <c r="F385">
        <f>IF(E385="Income","Revenue",IF(OR(E385="Materials",E385="Labor",E385="Dump Fees"),"COGS",IF(OR(E385="Fuel",E385="Insurance",E385="Tools",E385="Repairs"),"Expense","Non-Deductible")))</f>
        <v/>
      </c>
      <c r="G385" t="inlineStr">
        <is>
          <t>Expense</t>
        </is>
      </c>
      <c r="H385">
        <f>IF(G385&lt;&gt;F385,"YES","NO")</f>
        <v/>
      </c>
      <c r="I385" t="inlineStr"/>
      <c r="J385" t="inlineStr"/>
    </row>
    <row r="386">
      <c r="A386" s="5" t="n">
        <v>45862</v>
      </c>
      <c r="B386" t="inlineStr">
        <is>
          <t>Card Withdrawals - Debit Purchase - VISA On 072325 NEW ATHENS IL 4900017576</t>
        </is>
      </c>
      <c r="C386" t="n">
        <v>30.33</v>
      </c>
      <c r="D386" t="inlineStr">
        <is>
          <t>Debit</t>
        </is>
      </c>
      <c r="E386" t="inlineStr">
        <is>
          <t>Tools</t>
        </is>
      </c>
      <c r="F386">
        <f>IF(E386="Income","Revenue",IF(OR(E386="Materials",E386="Labor",E386="Dump Fees"),"COGS",IF(OR(E386="Fuel",E386="Insurance",E386="Tools",E386="Repairs"),"Expense","Non-Deductible")))</f>
        <v/>
      </c>
      <c r="G386" t="inlineStr">
        <is>
          <t>Expense</t>
        </is>
      </c>
      <c r="H386">
        <f>IF(G386&lt;&gt;F386,"YES","NO")</f>
        <v/>
      </c>
      <c r="I386" t="inlineStr"/>
      <c r="J386" t="inlineStr"/>
    </row>
    <row r="387">
      <c r="A387" s="5" t="n">
        <v>45862</v>
      </c>
      <c r="B387" t="inlineStr">
        <is>
          <t>Card Withdrawals - Debit Purchase MPC 1022 SAINT LOUIS MO</t>
        </is>
      </c>
      <c r="C387" t="n">
        <v>70.12</v>
      </c>
      <c r="D387" t="inlineStr">
        <is>
          <t>Debit</t>
        </is>
      </c>
      <c r="E387" t="inlineStr">
        <is>
          <t>Tools</t>
        </is>
      </c>
      <c r="F387">
        <f>IF(E387="Income","Revenue",IF(OR(E387="Materials",E387="Labor",E387="Dump Fees"),"COGS",IF(OR(E387="Fuel",E387="Insurance",E387="Tools",E387="Repairs"),"Expense","Non-Deductible")))</f>
        <v/>
      </c>
      <c r="G387" t="inlineStr">
        <is>
          <t>Expense</t>
        </is>
      </c>
      <c r="H387">
        <f>IF(G387&lt;&gt;F387,"YES","NO")</f>
        <v/>
      </c>
      <c r="I387" t="inlineStr"/>
      <c r="J387" t="inlineStr"/>
    </row>
    <row r="388">
      <c r="A388" s="5" t="n">
        <v>45862</v>
      </c>
      <c r="B388" t="inlineStr">
        <is>
          <t>Card Withdrawals - Debit Purchase verifyvend855-55 PROVIDENCE RI 6807241221</t>
        </is>
      </c>
      <c r="C388" t="n">
        <v>264.86</v>
      </c>
      <c r="D388" t="inlineStr">
        <is>
          <t>Debit</t>
        </is>
      </c>
      <c r="E388" t="inlineStr">
        <is>
          <t>Tools</t>
        </is>
      </c>
      <c r="F388">
        <f>IF(E388="Income","Revenue",IF(OR(E388="Materials",E388="Labor",E388="Dump Fees"),"COGS",IF(OR(E388="Fuel",E388="Insurance",E388="Tools",E388="Repairs"),"Expense","Non-Deductible")))</f>
        <v/>
      </c>
      <c r="G388" t="inlineStr">
        <is>
          <t>Expense</t>
        </is>
      </c>
      <c r="H388">
        <f>IF(G388&lt;&gt;F388,"YES","NO")</f>
        <v/>
      </c>
      <c r="I388" t="inlineStr"/>
      <c r="J388" t="inlineStr"/>
    </row>
    <row r="389">
      <c r="A389" s="5" t="n">
        <v>45862</v>
      </c>
      <c r="B389" t="inlineStr">
        <is>
          <t>Other Withdrawals - Mobile Banking Payment To Credit Card *************3424</t>
        </is>
      </c>
      <c r="C389" t="n">
        <v>600</v>
      </c>
      <c r="D389" t="inlineStr">
        <is>
          <t>Debit</t>
        </is>
      </c>
      <c r="E389" t="inlineStr">
        <is>
          <t>Fuel</t>
        </is>
      </c>
      <c r="F389">
        <f>IF(E389="Income","Revenue",IF(OR(E389="Materials",E389="Labor",E389="Dump Fees"),"COGS",IF(OR(E389="Fuel",E389="Insurance",E389="Tools",E389="Repairs"),"Expense","Non-Deductible")))</f>
        <v/>
      </c>
      <c r="G389" t="inlineStr">
        <is>
          <t>Expense</t>
        </is>
      </c>
      <c r="H389">
        <f>IF(G389&lt;&gt;F389,"YES","NO")</f>
        <v/>
      </c>
      <c r="I389" t="inlineStr"/>
      <c r="J389" t="inlineStr"/>
    </row>
    <row r="390">
      <c r="A390" s="5" t="n">
        <v>45862</v>
      </c>
      <c r="B390" t="inlineStr">
        <is>
          <t>Other Withdrawals - Mobile Banking Transfer To Account 152316875235</t>
        </is>
      </c>
      <c r="C390" t="n">
        <v>1000</v>
      </c>
      <c r="D390" t="inlineStr">
        <is>
          <t>Debit</t>
        </is>
      </c>
      <c r="E390" t="inlineStr">
        <is>
          <t>Transfer</t>
        </is>
      </c>
      <c r="F390">
        <f>IF(E390="Income","Revenue",IF(OR(E390="Materials",E390="Labor",E390="Dump Fees"),"COGS",IF(OR(E390="Fuel",E390="Insurance",E390="Tools",E390="Repairs"),"Expense","Non-Deductible")))</f>
        <v/>
      </c>
      <c r="G390" t="inlineStr">
        <is>
          <t>Non-Deductible</t>
        </is>
      </c>
      <c r="H390">
        <f>IF(G390&lt;&gt;F390,"YES","NO")</f>
        <v/>
      </c>
      <c r="I390" t="inlineStr"/>
      <c r="J390" t="inlineStr"/>
    </row>
    <row r="391">
      <c r="A391" s="5" t="n">
        <v>45862</v>
      </c>
      <c r="B391" t="inlineStr">
        <is>
          <t>Other Withdrawals - Zelle Instant PMT To Casey Williamson</t>
        </is>
      </c>
      <c r="C391" t="n">
        <v>575</v>
      </c>
      <c r="D391" t="inlineStr">
        <is>
          <t>Debit</t>
        </is>
      </c>
      <c r="E391" t="inlineStr">
        <is>
          <t>Labor</t>
        </is>
      </c>
      <c r="F391">
        <f>IF(E391="Income","Revenue",IF(OR(E391="Materials",E391="Labor",E391="Dump Fees"),"COGS",IF(OR(E391="Fuel",E391="Insurance",E391="Tools",E391="Repairs"),"Expense","Non-Deductible")))</f>
        <v/>
      </c>
      <c r="G391" t="inlineStr">
        <is>
          <t>COGS</t>
        </is>
      </c>
      <c r="H391">
        <f>IF(G391&lt;&gt;F391,"YES","NO")</f>
        <v/>
      </c>
      <c r="I391" t="inlineStr"/>
      <c r="J391" t="inlineStr">
        <is>
          <t>Casey</t>
        </is>
      </c>
    </row>
    <row r="392">
      <c r="A392" s="5" t="n">
        <v>45863</v>
      </c>
      <c r="B392" t="inlineStr">
        <is>
          <t>Card Withdrawals - ATM Withdrawal 1 S BELT EAST BELLEVILLE IL</t>
        </is>
      </c>
      <c r="C392" t="n">
        <v>203</v>
      </c>
      <c r="D392" t="inlineStr">
        <is>
          <t>Debit</t>
        </is>
      </c>
      <c r="E392" t="inlineStr">
        <is>
          <t>Tools</t>
        </is>
      </c>
      <c r="F392">
        <f>IF(E392="Income","Revenue",IF(OR(E392="Materials",E392="Labor",E392="Dump Fees"),"COGS",IF(OR(E392="Fuel",E392="Insurance",E392="Tools",E392="Repairs"),"Expense","Non-Deductible")))</f>
        <v/>
      </c>
      <c r="G392" t="inlineStr">
        <is>
          <t>Expense</t>
        </is>
      </c>
      <c r="H392">
        <f>IF(G392&lt;&gt;F392,"YES","NO")</f>
        <v/>
      </c>
      <c r="I392" t="inlineStr"/>
      <c r="J392" t="inlineStr"/>
    </row>
    <row r="393">
      <c r="A393" s="5" t="n">
        <v>45863</v>
      </c>
      <c r="B393" t="inlineStr">
        <is>
          <t>Card Withdrawals - Debit Purchase - VISA On 072425 Freeburg IL 6103056602</t>
        </is>
      </c>
      <c r="C393" t="n">
        <v>85.62</v>
      </c>
      <c r="D393" t="inlineStr">
        <is>
          <t>Debit</t>
        </is>
      </c>
      <c r="E393" t="inlineStr">
        <is>
          <t>Tools</t>
        </is>
      </c>
      <c r="F393">
        <f>IF(E393="Income","Revenue",IF(OR(E393="Materials",E393="Labor",E393="Dump Fees"),"COGS",IF(OR(E393="Fuel",E393="Insurance",E393="Tools",E393="Repairs"),"Expense","Non-Deductible")))</f>
        <v/>
      </c>
      <c r="G393" t="inlineStr">
        <is>
          <t>Expense</t>
        </is>
      </c>
      <c r="H393">
        <f>IF(G393&lt;&gt;F393,"YES","NO")</f>
        <v/>
      </c>
      <c r="I393" t="inlineStr"/>
      <c r="J393" t="inlineStr"/>
    </row>
    <row r="394">
      <c r="A394" s="5" t="n">
        <v>45863</v>
      </c>
      <c r="B394" t="inlineStr">
        <is>
          <t>Card Withdrawals - Fee ATM Withdrawal At Other Network 2500000157</t>
        </is>
      </c>
      <c r="C394" t="n">
        <v>3</v>
      </c>
      <c r="D394" t="inlineStr">
        <is>
          <t>Debit</t>
        </is>
      </c>
      <c r="E394" t="inlineStr">
        <is>
          <t>Tools</t>
        </is>
      </c>
      <c r="F394">
        <f>IF(E394="Income","Revenue",IF(OR(E394="Materials",E394="Labor",E394="Dump Fees"),"COGS",IF(OR(E394="Fuel",E394="Insurance",E394="Tools",E394="Repairs"),"Expense","Non-Deductible")))</f>
        <v/>
      </c>
      <c r="G394" t="inlineStr">
        <is>
          <t>Expense</t>
        </is>
      </c>
      <c r="H394">
        <f>IF(G394&lt;&gt;F394,"YES","NO")</f>
        <v/>
      </c>
      <c r="I394" t="inlineStr"/>
      <c r="J394" t="inlineStr"/>
    </row>
    <row r="395">
      <c r="A395" s="5" t="n">
        <v>45863</v>
      </c>
      <c r="B395" t="inlineStr">
        <is>
          <t>Card Withdrawals - Recurring Debit Purchase On 072425 800-288-2020 TX 5102916282</t>
        </is>
      </c>
      <c r="C395" t="n">
        <v>61</v>
      </c>
      <c r="D395" t="inlineStr">
        <is>
          <t>Debit</t>
        </is>
      </c>
      <c r="E395" t="inlineStr">
        <is>
          <t>Tools</t>
        </is>
      </c>
      <c r="F395">
        <f>IF(E395="Income","Revenue",IF(OR(E395="Materials",E395="Labor",E395="Dump Fees"),"COGS",IF(OR(E395="Fuel",E395="Insurance",E395="Tools",E395="Repairs"),"Expense","Non-Deductible")))</f>
        <v/>
      </c>
      <c r="G395" t="inlineStr">
        <is>
          <t>Expense</t>
        </is>
      </c>
      <c r="H395">
        <f>IF(G395&lt;&gt;F395,"YES","NO")</f>
        <v/>
      </c>
      <c r="I395" t="inlineStr"/>
      <c r="J395" t="inlineStr"/>
    </row>
    <row r="396">
      <c r="A396" s="5" t="n">
        <v>45863</v>
      </c>
      <c r="B396" t="inlineStr">
        <is>
          <t>Other Deposits - Mobile Check Deposit 9212618595</t>
        </is>
      </c>
      <c r="C396" t="n">
        <v>200</v>
      </c>
      <c r="D396" t="inlineStr">
        <is>
          <t>Credit</t>
        </is>
      </c>
      <c r="E396" t="inlineStr">
        <is>
          <t>Income</t>
        </is>
      </c>
      <c r="F396">
        <f>IF(E396="Income","Revenue",IF(OR(E396="Materials",E396="Labor",E396="Dump Fees"),"COGS",IF(OR(E396="Fuel",E396="Insurance",E396="Tools",E396="Repairs"),"Expense","Non-Deductible")))</f>
        <v/>
      </c>
      <c r="G396" t="inlineStr">
        <is>
          <t>Revenue</t>
        </is>
      </c>
      <c r="H396">
        <f>IF(G396&lt;&gt;F396,"YES","NO")</f>
        <v/>
      </c>
      <c r="I396" t="inlineStr"/>
      <c r="J396" t="inlineStr"/>
    </row>
    <row r="397">
      <c r="A397" s="5" t="n">
        <v>45863</v>
      </c>
      <c r="B397" t="inlineStr">
        <is>
          <t>Other Withdrawals - ATM Fee Balance Inquiry At Other Network 2500000001</t>
        </is>
      </c>
      <c r="C397" t="n">
        <v>3</v>
      </c>
      <c r="D397" t="inlineStr">
        <is>
          <t>Debit</t>
        </is>
      </c>
      <c r="E397" t="inlineStr">
        <is>
          <t>Tools</t>
        </is>
      </c>
      <c r="F397">
        <f>IF(E397="Income","Revenue",IF(OR(E397="Materials",E397="Labor",E397="Dump Fees"),"COGS",IF(OR(E397="Fuel",E397="Insurance",E397="Tools",E397="Repairs"),"Expense","Non-Deductible")))</f>
        <v/>
      </c>
      <c r="G397" t="inlineStr">
        <is>
          <t>Expense</t>
        </is>
      </c>
      <c r="H397">
        <f>IF(G397&lt;&gt;F397,"YES","NO")</f>
        <v/>
      </c>
      <c r="I397" t="inlineStr"/>
      <c r="J397" t="inlineStr"/>
    </row>
    <row r="398">
      <c r="A398" s="5" t="n">
        <v>45863</v>
      </c>
      <c r="B398" t="inlineStr">
        <is>
          <t>Other Withdrawals - Electronic Withdrawal To DISCOVER</t>
        </is>
      </c>
      <c r="C398" t="n">
        <v>1000</v>
      </c>
      <c r="D398" t="inlineStr">
        <is>
          <t>Debit</t>
        </is>
      </c>
      <c r="E398" t="inlineStr">
        <is>
          <t>Tools</t>
        </is>
      </c>
      <c r="F398">
        <f>IF(E398="Income","Revenue",IF(OR(E398="Materials",E398="Labor",E398="Dump Fees"),"COGS",IF(OR(E398="Fuel",E398="Insurance",E398="Tools",E398="Repairs"),"Expense","Non-Deductible")))</f>
        <v/>
      </c>
      <c r="G398" t="inlineStr">
        <is>
          <t>Expense</t>
        </is>
      </c>
      <c r="H398">
        <f>IF(G398&lt;&gt;F398,"YES","NO")</f>
        <v/>
      </c>
      <c r="I398" t="inlineStr"/>
      <c r="J398" t="inlineStr"/>
    </row>
    <row r="399">
      <c r="A399" s="5" t="n">
        <v>45863</v>
      </c>
      <c r="B399" t="inlineStr">
        <is>
          <t>Other Withdrawals - Electronic Withdrawal To MERCURY CARD FBT</t>
        </is>
      </c>
      <c r="C399" t="n">
        <v>1000</v>
      </c>
      <c r="D399" t="inlineStr">
        <is>
          <t>Debit</t>
        </is>
      </c>
      <c r="E399" t="inlineStr">
        <is>
          <t>Tools</t>
        </is>
      </c>
      <c r="F399">
        <f>IF(E399="Income","Revenue",IF(OR(E399="Materials",E399="Labor",E399="Dump Fees"),"COGS",IF(OR(E399="Fuel",E399="Insurance",E399="Tools",E399="Repairs"),"Expense","Non-Deductible")))</f>
        <v/>
      </c>
      <c r="G399" t="inlineStr">
        <is>
          <t>Expense</t>
        </is>
      </c>
      <c r="H399">
        <f>IF(G399&lt;&gt;F399,"YES","NO")</f>
        <v/>
      </c>
      <c r="I399" t="inlineStr"/>
      <c r="J399" t="inlineStr"/>
    </row>
    <row r="400">
      <c r="A400" s="5" t="n">
        <v>45863</v>
      </c>
      <c r="B400" t="inlineStr">
        <is>
          <t>Other Withdrawals - Mobile Banking Transfer To Account 152316875235</t>
        </is>
      </c>
      <c r="C400" t="n">
        <v>400</v>
      </c>
      <c r="D400" t="inlineStr">
        <is>
          <t>Debit</t>
        </is>
      </c>
      <c r="E400" t="inlineStr">
        <is>
          <t>Transfer</t>
        </is>
      </c>
      <c r="F400">
        <f>IF(E400="Income","Revenue",IF(OR(E400="Materials",E400="Labor",E400="Dump Fees"),"COGS",IF(OR(E400="Fuel",E400="Insurance",E400="Tools",E400="Repairs"),"Expense","Non-Deductible")))</f>
        <v/>
      </c>
      <c r="G400" t="inlineStr">
        <is>
          <t>Non-Deductible</t>
        </is>
      </c>
      <c r="H400">
        <f>IF(G400&lt;&gt;F400,"YES","NO")</f>
        <v/>
      </c>
      <c r="I400" t="inlineStr"/>
      <c r="J400" t="inlineStr"/>
    </row>
    <row r="401">
      <c r="A401" s="5" t="n">
        <v>45863</v>
      </c>
      <c r="B401" t="inlineStr">
        <is>
          <t>Other Withdrawals - Zelle Instant PMT To Brian Davis</t>
        </is>
      </c>
      <c r="C401" t="n">
        <v>350</v>
      </c>
      <c r="D401" t="inlineStr">
        <is>
          <t>Debit</t>
        </is>
      </c>
      <c r="E401" t="inlineStr">
        <is>
          <t>Labor</t>
        </is>
      </c>
      <c r="F401">
        <f>IF(E401="Income","Revenue",IF(OR(E401="Materials",E401="Labor",E401="Dump Fees"),"COGS",IF(OR(E401="Fuel",E401="Insurance",E401="Tools",E401="Repairs"),"Expense","Non-Deductible")))</f>
        <v/>
      </c>
      <c r="G401" t="inlineStr">
        <is>
          <t>COGS</t>
        </is>
      </c>
      <c r="H401">
        <f>IF(G401&lt;&gt;F401,"YES","NO")</f>
        <v/>
      </c>
      <c r="I401" t="inlineStr"/>
      <c r="J401" t="inlineStr">
        <is>
          <t>Bryan</t>
        </is>
      </c>
    </row>
    <row r="402">
      <c r="A402" s="5" t="n">
        <v>45863</v>
      </c>
      <c r="B402" t="inlineStr">
        <is>
          <t>Other Withdrawals - Zelle Instant PMT To Brian Davis</t>
        </is>
      </c>
      <c r="C402" t="n">
        <v>1050</v>
      </c>
      <c r="D402" t="inlineStr">
        <is>
          <t>Debit</t>
        </is>
      </c>
      <c r="E402" t="inlineStr">
        <is>
          <t>Labor</t>
        </is>
      </c>
      <c r="F402">
        <f>IF(E402="Income","Revenue",IF(OR(E402="Materials",E402="Labor",E402="Dump Fees"),"COGS",IF(OR(E402="Fuel",E402="Insurance",E402="Tools",E402="Repairs"),"Expense","Non-Deductible")))</f>
        <v/>
      </c>
      <c r="G402" t="inlineStr">
        <is>
          <t>COGS</t>
        </is>
      </c>
      <c r="H402">
        <f>IF(G402&lt;&gt;F402,"YES","NO")</f>
        <v/>
      </c>
      <c r="I402" t="inlineStr"/>
      <c r="J402" t="inlineStr">
        <is>
          <t>Bryan</t>
        </is>
      </c>
    </row>
    <row r="403">
      <c r="A403" s="5" t="n">
        <v>45863</v>
      </c>
      <c r="B403" t="inlineStr">
        <is>
          <t>Other Withdrawals - Zelle Instant PMT To Casey Williamson</t>
        </is>
      </c>
      <c r="C403" t="n">
        <v>100</v>
      </c>
      <c r="D403" t="inlineStr">
        <is>
          <t>Debit</t>
        </is>
      </c>
      <c r="E403" t="inlineStr">
        <is>
          <t>Labor</t>
        </is>
      </c>
      <c r="F403">
        <f>IF(E403="Income","Revenue",IF(OR(E403="Materials",E403="Labor",E403="Dump Fees"),"COGS",IF(OR(E403="Fuel",E403="Insurance",E403="Tools",E403="Repairs"),"Expense","Non-Deductible")))</f>
        <v/>
      </c>
      <c r="G403" t="inlineStr">
        <is>
          <t>COGS</t>
        </is>
      </c>
      <c r="H403">
        <f>IF(G403&lt;&gt;F403,"YES","NO")</f>
        <v/>
      </c>
      <c r="I403" t="inlineStr"/>
      <c r="J403" t="inlineStr">
        <is>
          <t>Casey</t>
        </is>
      </c>
    </row>
    <row r="404">
      <c r="A404" s="5" t="n">
        <v>45866</v>
      </c>
      <c r="B404" t="inlineStr">
        <is>
          <t>Card Withdrawals - Recurring Debit Purchase On 072525 888-270-2644 IN 6103868862</t>
        </is>
      </c>
      <c r="C404" t="n">
        <v>817.5</v>
      </c>
      <c r="D404" t="inlineStr">
        <is>
          <t>Debit</t>
        </is>
      </c>
      <c r="E404" t="inlineStr">
        <is>
          <t>Tools</t>
        </is>
      </c>
      <c r="F404">
        <f>IF(E404="Income","Revenue",IF(OR(E404="Materials",E404="Labor",E404="Dump Fees"),"COGS",IF(OR(E404="Fuel",E404="Insurance",E404="Tools",E404="Repairs"),"Expense","Non-Deductible")))</f>
        <v/>
      </c>
      <c r="G404" t="inlineStr">
        <is>
          <t>Expense</t>
        </is>
      </c>
      <c r="H404">
        <f>IF(G404&lt;&gt;F404,"YES","NO")</f>
        <v/>
      </c>
      <c r="I404" t="inlineStr"/>
      <c r="J404" t="inlineStr"/>
    </row>
    <row r="405">
      <c r="A405" s="5" t="n">
        <v>45866</v>
      </c>
      <c r="B405" t="inlineStr">
        <is>
          <t>Other Deposits - Mobile Check Deposit 8012982365</t>
        </is>
      </c>
      <c r="C405" t="n">
        <v>4000</v>
      </c>
      <c r="D405" t="inlineStr">
        <is>
          <t>Credit</t>
        </is>
      </c>
      <c r="E405" t="inlineStr">
        <is>
          <t>Income</t>
        </is>
      </c>
      <c r="F405">
        <f>IF(E405="Income","Revenue",IF(OR(E405="Materials",E405="Labor",E405="Dump Fees"),"COGS",IF(OR(E405="Fuel",E405="Insurance",E405="Tools",E405="Repairs"),"Expense","Non-Deductible")))</f>
        <v/>
      </c>
      <c r="G405" t="inlineStr">
        <is>
          <t>Revenue</t>
        </is>
      </c>
      <c r="H405">
        <f>IF(G405&lt;&gt;F405,"YES","NO")</f>
        <v/>
      </c>
      <c r="I405" t="inlineStr"/>
      <c r="J405" t="inlineStr"/>
    </row>
    <row r="406">
      <c r="A406" s="5" t="n">
        <v>45866</v>
      </c>
      <c r="B406" t="inlineStr">
        <is>
          <t>Other Withdrawals - Mobile Banking Transfer To Account 152316875235</t>
        </is>
      </c>
      <c r="C406" t="n">
        <v>300</v>
      </c>
      <c r="D406" t="inlineStr">
        <is>
          <t>Debit</t>
        </is>
      </c>
      <c r="E406" t="inlineStr">
        <is>
          <t>Transfer</t>
        </is>
      </c>
      <c r="F406">
        <f>IF(E406="Income","Revenue",IF(OR(E406="Materials",E406="Labor",E406="Dump Fees"),"COGS",IF(OR(E406="Fuel",E406="Insurance",E406="Tools",E406="Repairs"),"Expense","Non-Deductible")))</f>
        <v/>
      </c>
      <c r="G406" t="inlineStr">
        <is>
          <t>Non-Deductible</t>
        </is>
      </c>
      <c r="H406">
        <f>IF(G406&lt;&gt;F406,"YES","NO")</f>
        <v/>
      </c>
      <c r="I406" t="inlineStr"/>
      <c r="J406" t="inlineStr"/>
    </row>
    <row r="407">
      <c r="A407" s="5" t="n">
        <v>45869</v>
      </c>
      <c r="B407" t="inlineStr">
        <is>
          <t>Card Withdrawals - Debit Purchase CIRCLE K # 01359 TROY IL</t>
        </is>
      </c>
      <c r="C407" t="n">
        <v>96.42</v>
      </c>
      <c r="D407" t="inlineStr">
        <is>
          <t>Debit</t>
        </is>
      </c>
      <c r="E407" t="inlineStr">
        <is>
          <t>Tools</t>
        </is>
      </c>
      <c r="F407">
        <f>IF(E407="Income","Revenue",IF(OR(E407="Materials",E407="Labor",E407="Dump Fees"),"COGS",IF(OR(E407="Fuel",E407="Insurance",E407="Tools",E407="Repairs"),"Expense","Non-Deductible")))</f>
        <v/>
      </c>
      <c r="G407" t="inlineStr">
        <is>
          <t>Expense</t>
        </is>
      </c>
      <c r="H407">
        <f>IF(G407&lt;&gt;F407,"YES","NO")</f>
        <v/>
      </c>
      <c r="I407" t="inlineStr"/>
      <c r="J407" t="inlineStr"/>
    </row>
    <row r="408">
      <c r="A408" s="5" t="n">
        <v>45869</v>
      </c>
      <c r="B408" t="inlineStr">
        <is>
          <t>Card Withdrawals - Recurring Debit Purchase On 073025 800-956-6310 IL 1256471239</t>
        </is>
      </c>
      <c r="C408" t="n">
        <v>294.97</v>
      </c>
      <c r="D408" t="inlineStr">
        <is>
          <t>Debit</t>
        </is>
      </c>
      <c r="E408" t="inlineStr">
        <is>
          <t>Tools</t>
        </is>
      </c>
      <c r="F408">
        <f>IF(E408="Income","Revenue",IF(OR(E408="Materials",E408="Labor",E408="Dump Fees"),"COGS",IF(OR(E408="Fuel",E408="Insurance",E408="Tools",E408="Repairs"),"Expense","Non-Deductible")))</f>
        <v/>
      </c>
      <c r="G408" t="inlineStr">
        <is>
          <t>Expense</t>
        </is>
      </c>
      <c r="H408">
        <f>IF(G408&lt;&gt;F408,"YES","NO")</f>
        <v/>
      </c>
      <c r="I408" t="inlineStr"/>
      <c r="J408" t="inlineStr"/>
    </row>
    <row r="409">
      <c r="A409" s="5" t="n">
        <v>45869</v>
      </c>
      <c r="B409" t="inlineStr">
        <is>
          <t>Other Deposits - Mobile Check Deposit 8913502382</t>
        </is>
      </c>
      <c r="C409" t="n">
        <v>4250</v>
      </c>
      <c r="D409" t="inlineStr">
        <is>
          <t>Credit</t>
        </is>
      </c>
      <c r="E409" t="inlineStr">
        <is>
          <t>Income</t>
        </is>
      </c>
      <c r="F409">
        <f>IF(E409="Income","Revenue",IF(OR(E409="Materials",E409="Labor",E409="Dump Fees"),"COGS",IF(OR(E409="Fuel",E409="Insurance",E409="Tools",E409="Repairs"),"Expense","Non-Deductible")))</f>
        <v/>
      </c>
      <c r="G409" t="inlineStr">
        <is>
          <t>Revenue</t>
        </is>
      </c>
      <c r="H409">
        <f>IF(G409&lt;&gt;F409,"YES","NO")</f>
        <v/>
      </c>
      <c r="I409" t="inlineStr"/>
      <c r="J409" t="inlineStr"/>
    </row>
    <row r="410">
      <c r="A410" s="5" t="n">
        <v>45870</v>
      </c>
      <c r="B410" t="inlineStr">
        <is>
          <t>Card Withdrawals - Debit Purchase - VISA On 073025 COULTERVILLE IL 2900012719 $</t>
        </is>
      </c>
      <c r="C410" t="n">
        <v>65.69</v>
      </c>
      <c r="D410" t="inlineStr">
        <is>
          <t>Debit</t>
        </is>
      </c>
      <c r="E410" t="inlineStr">
        <is>
          <t>Tools</t>
        </is>
      </c>
      <c r="F410">
        <f>IF(E410="Income","Revenue",IF(OR(E410="Materials",E410="Labor",E410="Dump Fees"),"COGS",IF(OR(E410="Fuel",E410="Insurance",E410="Tools",E410="Repairs"),"Expense","Non-Deductible")))</f>
        <v/>
      </c>
      <c r="G410" t="inlineStr">
        <is>
          <t>Expense</t>
        </is>
      </c>
      <c r="H410">
        <f>IF(G410&lt;&gt;F410,"YES","NO")</f>
        <v/>
      </c>
      <c r="I410" t="inlineStr"/>
      <c r="J410" t="inlineStr"/>
    </row>
    <row r="411">
      <c r="A411" s="5" t="n">
        <v>45870</v>
      </c>
      <c r="B411" t="inlineStr">
        <is>
          <t>Other Withdrawals - Mobile Banking Transfer To Account 152316875235</t>
        </is>
      </c>
      <c r="C411" t="n">
        <v>699</v>
      </c>
      <c r="D411" t="inlineStr">
        <is>
          <t>Debit</t>
        </is>
      </c>
      <c r="E411" t="inlineStr">
        <is>
          <t>Transfer</t>
        </is>
      </c>
      <c r="F411">
        <f>IF(E411="Income","Revenue",IF(OR(E411="Materials",E411="Labor",E411="Dump Fees"),"COGS",IF(OR(E411="Fuel",E411="Insurance",E411="Tools",E411="Repairs"),"Expense","Non-Deductible")))</f>
        <v/>
      </c>
      <c r="G411" t="inlineStr">
        <is>
          <t>Non-Deductible</t>
        </is>
      </c>
      <c r="H411">
        <f>IF(G411&lt;&gt;F411,"YES","NO")</f>
        <v/>
      </c>
      <c r="I411" t="inlineStr"/>
      <c r="J411" t="inlineStr"/>
    </row>
    <row r="412">
      <c r="A412" s="5" t="n">
        <v>45870</v>
      </c>
      <c r="B412" t="inlineStr">
        <is>
          <t>Other Withdrawals - Mobile Banking Transfer To Account 152316875235 $</t>
        </is>
      </c>
      <c r="C412" t="n">
        <v>200</v>
      </c>
      <c r="D412" t="inlineStr">
        <is>
          <t>Debit</t>
        </is>
      </c>
      <c r="E412" t="inlineStr">
        <is>
          <t>Transfer</t>
        </is>
      </c>
      <c r="F412">
        <f>IF(E412="Income","Revenue",IF(OR(E412="Materials",E412="Labor",E412="Dump Fees"),"COGS",IF(OR(E412="Fuel",E412="Insurance",E412="Tools",E412="Repairs"),"Expense","Non-Deductible")))</f>
        <v/>
      </c>
      <c r="G412" t="inlineStr">
        <is>
          <t>Non-Deductible</t>
        </is>
      </c>
      <c r="H412">
        <f>IF(G412&lt;&gt;F412,"YES","NO")</f>
        <v/>
      </c>
      <c r="I412" t="inlineStr"/>
      <c r="J412" t="inlineStr"/>
    </row>
    <row r="413">
      <c r="A413" s="5" t="n">
        <v>45870</v>
      </c>
      <c r="B413" t="inlineStr">
        <is>
          <t>Other Withdrawals - Zelle Instant PMT To Brian Davis</t>
        </is>
      </c>
      <c r="C413" t="n">
        <v>1120</v>
      </c>
      <c r="D413" t="inlineStr">
        <is>
          <t>Debit</t>
        </is>
      </c>
      <c r="E413" t="inlineStr">
        <is>
          <t>Labor</t>
        </is>
      </c>
      <c r="F413">
        <f>IF(E413="Income","Revenue",IF(OR(E413="Materials",E413="Labor",E413="Dump Fees"),"COGS",IF(OR(E413="Fuel",E413="Insurance",E413="Tools",E413="Repairs"),"Expense","Non-Deductible")))</f>
        <v/>
      </c>
      <c r="G413" t="inlineStr">
        <is>
          <t>COGS</t>
        </is>
      </c>
      <c r="H413">
        <f>IF(G413&lt;&gt;F413,"YES","NO")</f>
        <v/>
      </c>
      <c r="I413" t="inlineStr"/>
      <c r="J413" t="inlineStr">
        <is>
          <t>Bryan</t>
        </is>
      </c>
    </row>
    <row r="414">
      <c r="A414" s="5" t="n">
        <v>45870</v>
      </c>
      <c r="B414" t="inlineStr">
        <is>
          <t>Other Withdrawals - Zelle Instant PMT To Casey Williamson</t>
        </is>
      </c>
      <c r="C414" t="n">
        <v>800</v>
      </c>
      <c r="D414" t="inlineStr">
        <is>
          <t>Debit</t>
        </is>
      </c>
      <c r="E414" t="inlineStr">
        <is>
          <t>Labor</t>
        </is>
      </c>
      <c r="F414">
        <f>IF(E414="Income","Revenue",IF(OR(E414="Materials",E414="Labor",E414="Dump Fees"),"COGS",IF(OR(E414="Fuel",E414="Insurance",E414="Tools",E414="Repairs"),"Expense","Non-Deductible")))</f>
        <v/>
      </c>
      <c r="G414" t="inlineStr">
        <is>
          <t>COGS</t>
        </is>
      </c>
      <c r="H414">
        <f>IF(G414&lt;&gt;F414,"YES","NO")</f>
        <v/>
      </c>
      <c r="I414" t="inlineStr"/>
      <c r="J414" t="inlineStr">
        <is>
          <t>Casey</t>
        </is>
      </c>
    </row>
    <row r="415">
      <c r="A415" s="5" t="n">
        <v>45873</v>
      </c>
      <c r="B415" t="inlineStr">
        <is>
          <t>Card Withdrawals - Debit Purchase - VISA On 080125 618-2354091 IL 4000294950</t>
        </is>
      </c>
      <c r="C415" t="n">
        <v>120.7</v>
      </c>
      <c r="D415" t="inlineStr">
        <is>
          <t>Debit</t>
        </is>
      </c>
      <c r="E415" t="inlineStr">
        <is>
          <t>Tools</t>
        </is>
      </c>
      <c r="F415">
        <f>IF(E415="Income","Revenue",IF(OR(E415="Materials",E415="Labor",E415="Dump Fees"),"COGS",IF(OR(E415="Fuel",E415="Insurance",E415="Tools",E415="Repairs"),"Expense","Non-Deductible")))</f>
        <v/>
      </c>
      <c r="G415" t="inlineStr">
        <is>
          <t>Expense</t>
        </is>
      </c>
      <c r="H415">
        <f>IF(G415&lt;&gt;F415,"YES","NO")</f>
        <v/>
      </c>
      <c r="I415" t="inlineStr"/>
      <c r="J415" t="inlineStr"/>
    </row>
    <row r="416">
      <c r="A416" s="5" t="n">
        <v>45873</v>
      </c>
      <c r="B416" t="inlineStr">
        <is>
          <t>Other Deposits - Debit Purchase Ret - VISA On 080325 BELLEVILLE IL 4000294950 $</t>
        </is>
      </c>
      <c r="C416" t="n">
        <v>58</v>
      </c>
      <c r="D416" t="inlineStr">
        <is>
          <t>Credit</t>
        </is>
      </c>
      <c r="E416" t="inlineStr">
        <is>
          <t>Income</t>
        </is>
      </c>
      <c r="F416">
        <f>IF(E416="Income","Revenue",IF(OR(E416="Materials",E416="Labor",E416="Dump Fees"),"COGS",IF(OR(E416="Fuel",E416="Insurance",E416="Tools",E416="Repairs"),"Expense","Non-Deductible")))</f>
        <v/>
      </c>
      <c r="G416" t="inlineStr">
        <is>
          <t>Revenue</t>
        </is>
      </c>
      <c r="H416">
        <f>IF(G416&lt;&gt;F416,"YES","NO")</f>
        <v/>
      </c>
      <c r="I416" t="inlineStr"/>
      <c r="J416" t="inlineStr"/>
    </row>
    <row r="417">
      <c r="A417" s="5" t="n">
        <v>45874</v>
      </c>
      <c r="B417" t="inlineStr">
        <is>
          <t>Other Withdrawals - 14,771.36 Aug11 15,578.71 Aug15</t>
        </is>
      </c>
      <c r="C417" t="n">
        <v>16942.69</v>
      </c>
      <c r="D417" t="inlineStr">
        <is>
          <t>Credit</t>
        </is>
      </c>
      <c r="E417" t="inlineStr">
        <is>
          <t>Income</t>
        </is>
      </c>
      <c r="F417">
        <f>IF(E417="Income","Revenue",IF(OR(E417="Materials",E417="Labor",E417="Dump Fees"),"COGS",IF(OR(E417="Fuel",E417="Insurance",E417="Tools",E417="Repairs"),"Expense","Non-Deductible")))</f>
        <v/>
      </c>
      <c r="G417" t="inlineStr">
        <is>
          <t>Revenue</t>
        </is>
      </c>
      <c r="H417">
        <f>IF(G417&lt;&gt;F417,"YES","NO")</f>
        <v/>
      </c>
      <c r="I417" t="inlineStr"/>
      <c r="J417" t="inlineStr"/>
    </row>
    <row r="418">
      <c r="A418" s="5" t="n">
        <v>45874</v>
      </c>
      <c r="B418" t="inlineStr">
        <is>
          <t>Other Withdrawals - Electronic Withdrawal To Credit One Bank</t>
        </is>
      </c>
      <c r="C418" t="n">
        <v>557.3200000000001</v>
      </c>
      <c r="D418" t="inlineStr">
        <is>
          <t>Debit</t>
        </is>
      </c>
      <c r="E418" t="inlineStr">
        <is>
          <t>Tools</t>
        </is>
      </c>
      <c r="F418">
        <f>IF(E418="Income","Revenue",IF(OR(E418="Materials",E418="Labor",E418="Dump Fees"),"COGS",IF(OR(E418="Fuel",E418="Insurance",E418="Tools",E418="Repairs"),"Expense","Non-Deductible")))</f>
        <v/>
      </c>
      <c r="G418" t="inlineStr">
        <is>
          <t>Expense</t>
        </is>
      </c>
      <c r="H418">
        <f>IF(G418&lt;&gt;F418,"YES","NO")</f>
        <v/>
      </c>
      <c r="I418" t="inlineStr"/>
      <c r="J418" t="inlineStr"/>
    </row>
    <row r="419">
      <c r="A419" s="5" t="n">
        <v>45874</v>
      </c>
      <c r="B419" t="inlineStr">
        <is>
          <t>Other Withdrawals - Electronic Withdrawal To Credit One Bank</t>
        </is>
      </c>
      <c r="C419" t="n">
        <v>560.1900000000001</v>
      </c>
      <c r="D419" t="inlineStr">
        <is>
          <t>Debit</t>
        </is>
      </c>
      <c r="E419" t="inlineStr">
        <is>
          <t>Tools</t>
        </is>
      </c>
      <c r="F419">
        <f>IF(E419="Income","Revenue",IF(OR(E419="Materials",E419="Labor",E419="Dump Fees"),"COGS",IF(OR(E419="Fuel",E419="Insurance",E419="Tools",E419="Repairs"),"Expense","Non-Deductible")))</f>
        <v/>
      </c>
      <c r="G419" t="inlineStr">
        <is>
          <t>Expense</t>
        </is>
      </c>
      <c r="H419">
        <f>IF(G419&lt;&gt;F419,"YES","NO")</f>
        <v/>
      </c>
      <c r="I419" t="inlineStr"/>
      <c r="J419" t="inlineStr"/>
    </row>
    <row r="420">
      <c r="A420" s="5" t="n">
        <v>45874</v>
      </c>
      <c r="B420" t="inlineStr">
        <is>
          <t>Other Withdrawals - Electronic Withdrawal To MERCURY CARD FBT</t>
        </is>
      </c>
      <c r="C420" t="n">
        <v>500</v>
      </c>
      <c r="D420" t="inlineStr">
        <is>
          <t>Debit</t>
        </is>
      </c>
      <c r="E420" t="inlineStr">
        <is>
          <t>Tools</t>
        </is>
      </c>
      <c r="F420">
        <f>IF(E420="Income","Revenue",IF(OR(E420="Materials",E420="Labor",E420="Dump Fees"),"COGS",IF(OR(E420="Fuel",E420="Insurance",E420="Tools",E420="Repairs"),"Expense","Non-Deductible")))</f>
        <v/>
      </c>
      <c r="G420" t="inlineStr">
        <is>
          <t>Expense</t>
        </is>
      </c>
      <c r="H420">
        <f>IF(G420&lt;&gt;F420,"YES","NO")</f>
        <v/>
      </c>
      <c r="I420" t="inlineStr"/>
      <c r="J420" t="inlineStr"/>
    </row>
    <row r="421">
      <c r="A421" s="5" t="n">
        <v>45874</v>
      </c>
      <c r="B421" t="inlineStr">
        <is>
          <t>Other Withdrawals - Electronic Withdrawal To MISSION LANE</t>
        </is>
      </c>
      <c r="C421" t="n">
        <v>500</v>
      </c>
      <c r="D421" t="inlineStr">
        <is>
          <t>Debit</t>
        </is>
      </c>
      <c r="E421" t="inlineStr">
        <is>
          <t>Tools</t>
        </is>
      </c>
      <c r="F421">
        <f>IF(E421="Income","Revenue",IF(OR(E421="Materials",E421="Labor",E421="Dump Fees"),"COGS",IF(OR(E421="Fuel",E421="Insurance",E421="Tools",E421="Repairs"),"Expense","Non-Deductible")))</f>
        <v/>
      </c>
      <c r="G421" t="inlineStr">
        <is>
          <t>Expense</t>
        </is>
      </c>
      <c r="H421">
        <f>IF(G421&lt;&gt;F421,"YES","NO")</f>
        <v/>
      </c>
      <c r="I421" t="inlineStr"/>
      <c r="J421" t="inlineStr"/>
    </row>
    <row r="422">
      <c r="A422" s="5" t="n">
        <v>45875</v>
      </c>
      <c r="B422" t="inlineStr">
        <is>
          <t>Card Withdrawals - Debit Purchase verifyvend855-55 PROVIDENCE RI 1708051717</t>
        </is>
      </c>
      <c r="C422" t="n">
        <v>85.2</v>
      </c>
      <c r="D422" t="inlineStr">
        <is>
          <t>Debit</t>
        </is>
      </c>
      <c r="E422" t="inlineStr">
        <is>
          <t>Tools</t>
        </is>
      </c>
      <c r="F422">
        <f>IF(E422="Income","Revenue",IF(OR(E422="Materials",E422="Labor",E422="Dump Fees"),"COGS",IF(OR(E422="Fuel",E422="Insurance",E422="Tools",E422="Repairs"),"Expense","Non-Deductible")))</f>
        <v/>
      </c>
      <c r="G422" t="inlineStr">
        <is>
          <t>Expense</t>
        </is>
      </c>
      <c r="H422">
        <f>IF(G422&lt;&gt;F422,"YES","NO")</f>
        <v/>
      </c>
      <c r="I422" t="inlineStr"/>
      <c r="J422" t="inlineStr"/>
    </row>
    <row r="423">
      <c r="A423" s="5" t="n">
        <v>45875</v>
      </c>
      <c r="B423" t="inlineStr">
        <is>
          <t>Other Deposits - Mobile Check Deposit 8612507654</t>
        </is>
      </c>
      <c r="C423" t="n">
        <v>3619</v>
      </c>
      <c r="D423" t="inlineStr">
        <is>
          <t>Credit</t>
        </is>
      </c>
      <c r="E423" t="inlineStr">
        <is>
          <t>Income</t>
        </is>
      </c>
      <c r="F423">
        <f>IF(E423="Income","Revenue",IF(OR(E423="Materials",E423="Labor",E423="Dump Fees"),"COGS",IF(OR(E423="Fuel",E423="Insurance",E423="Tools",E423="Repairs"),"Expense","Non-Deductible")))</f>
        <v/>
      </c>
      <c r="G423" t="inlineStr">
        <is>
          <t>Revenue</t>
        </is>
      </c>
      <c r="H423">
        <f>IF(G423&lt;&gt;F423,"YES","NO")</f>
        <v/>
      </c>
      <c r="I423" t="inlineStr"/>
      <c r="J423" t="inlineStr"/>
    </row>
    <row r="424">
      <c r="A424" s="5" t="n">
        <v>45875</v>
      </c>
      <c r="B424" t="inlineStr">
        <is>
          <t>Other Withdrawals - 18,305.16 Aug12 17,603.21 Aug19</t>
        </is>
      </c>
      <c r="C424" t="n">
        <v>15992.69</v>
      </c>
      <c r="D424" t="inlineStr">
        <is>
          <t>Credit</t>
        </is>
      </c>
      <c r="E424" t="inlineStr">
        <is>
          <t>Income</t>
        </is>
      </c>
      <c r="F424">
        <f>IF(E424="Income","Revenue",IF(OR(E424="Materials",E424="Labor",E424="Dump Fees"),"COGS",IF(OR(E424="Fuel",E424="Insurance",E424="Tools",E424="Repairs"),"Expense","Non-Deductible")))</f>
        <v/>
      </c>
      <c r="G424" t="inlineStr">
        <is>
          <t>Revenue</t>
        </is>
      </c>
      <c r="H424">
        <f>IF(G424&lt;&gt;F424,"YES","NO")</f>
        <v/>
      </c>
      <c r="I424" t="inlineStr"/>
      <c r="J424" t="inlineStr"/>
    </row>
    <row r="425">
      <c r="A425" s="5" t="n">
        <v>45876</v>
      </c>
      <c r="B425" t="inlineStr">
        <is>
          <t>Card Withdrawals - Debit Purchase - VISA On 080625 O FALLON IL 9434201100</t>
        </is>
      </c>
      <c r="C425" t="n">
        <v>132.62</v>
      </c>
      <c r="D425" t="inlineStr">
        <is>
          <t>Debit</t>
        </is>
      </c>
      <c r="E425" t="inlineStr">
        <is>
          <t>Tools</t>
        </is>
      </c>
      <c r="F425">
        <f>IF(E425="Income","Revenue",IF(OR(E425="Materials",E425="Labor",E425="Dump Fees"),"COGS",IF(OR(E425="Fuel",E425="Insurance",E425="Tools",E425="Repairs"),"Expense","Non-Deductible")))</f>
        <v/>
      </c>
      <c r="G425" t="inlineStr">
        <is>
          <t>Expense</t>
        </is>
      </c>
      <c r="H425">
        <f>IF(G425&lt;&gt;F425,"YES","NO")</f>
        <v/>
      </c>
      <c r="I425" t="inlineStr"/>
      <c r="J425" t="inlineStr"/>
    </row>
    <row r="426">
      <c r="A426" s="5" t="n">
        <v>45876</v>
      </c>
      <c r="B426" t="inlineStr">
        <is>
          <t>Other Withdrawals - Mobile Banking Payment To Credit Card *************3424</t>
        </is>
      </c>
      <c r="C426" t="n">
        <v>1000</v>
      </c>
      <c r="D426" t="inlineStr">
        <is>
          <t>Debit</t>
        </is>
      </c>
      <c r="E426" t="inlineStr">
        <is>
          <t>Fuel</t>
        </is>
      </c>
      <c r="F426">
        <f>IF(E426="Income","Revenue",IF(OR(E426="Materials",E426="Labor",E426="Dump Fees"),"COGS",IF(OR(E426="Fuel",E426="Insurance",E426="Tools",E426="Repairs"),"Expense","Non-Deductible")))</f>
        <v/>
      </c>
      <c r="G426" t="inlineStr">
        <is>
          <t>Expense</t>
        </is>
      </c>
      <c r="H426">
        <f>IF(G426&lt;&gt;F426,"YES","NO")</f>
        <v/>
      </c>
      <c r="I426" t="inlineStr"/>
      <c r="J426" t="inlineStr"/>
    </row>
    <row r="427">
      <c r="A427" s="5" t="n">
        <v>45876</v>
      </c>
      <c r="B427" t="inlineStr">
        <is>
          <t>Other Withdrawals - Mobile Banking Payment To Credit Card *************6452</t>
        </is>
      </c>
      <c r="C427" t="n">
        <v>344.98</v>
      </c>
      <c r="D427" t="inlineStr">
        <is>
          <t>Debit</t>
        </is>
      </c>
      <c r="E427" t="inlineStr">
        <is>
          <t>Fuel</t>
        </is>
      </c>
      <c r="F427">
        <f>IF(E427="Income","Revenue",IF(OR(E427="Materials",E427="Labor",E427="Dump Fees"),"COGS",IF(OR(E427="Fuel",E427="Insurance",E427="Tools",E427="Repairs"),"Expense","Non-Deductible")))</f>
        <v/>
      </c>
      <c r="G427" t="inlineStr">
        <is>
          <t>Expense</t>
        </is>
      </c>
      <c r="H427">
        <f>IF(G427&lt;&gt;F427,"YES","NO")</f>
        <v/>
      </c>
      <c r="I427" t="inlineStr"/>
      <c r="J427" t="inlineStr"/>
    </row>
    <row r="428">
      <c r="A428" s="5" t="n">
        <v>45876</v>
      </c>
      <c r="B428" t="inlineStr">
        <is>
          <t>Other Withdrawals - Mobile Banking Payment To Credit Card *************9563</t>
        </is>
      </c>
      <c r="C428" t="n">
        <v>337.63</v>
      </c>
      <c r="D428" t="inlineStr">
        <is>
          <t>Debit</t>
        </is>
      </c>
      <c r="E428" t="inlineStr">
        <is>
          <t>Fuel</t>
        </is>
      </c>
      <c r="F428">
        <f>IF(E428="Income","Revenue",IF(OR(E428="Materials",E428="Labor",E428="Dump Fees"),"COGS",IF(OR(E428="Fuel",E428="Insurance",E428="Tools",E428="Repairs"),"Expense","Non-Deductible")))</f>
        <v/>
      </c>
      <c r="G428" t="inlineStr">
        <is>
          <t>Expense</t>
        </is>
      </c>
      <c r="H428">
        <f>IF(G428&lt;&gt;F428,"YES","NO")</f>
        <v/>
      </c>
      <c r="I428" t="inlineStr"/>
      <c r="J428" t="inlineStr"/>
    </row>
    <row r="429">
      <c r="A429" s="5" t="n">
        <v>45876</v>
      </c>
      <c r="B429" t="inlineStr">
        <is>
          <t>Other Withdrawals - Mobile Banking Transfer To Account 152316874980</t>
        </is>
      </c>
      <c r="C429" t="n">
        <v>50</v>
      </c>
      <c r="D429" t="inlineStr">
        <is>
          <t>Debit</t>
        </is>
      </c>
      <c r="E429" t="inlineStr">
        <is>
          <t>Transfer</t>
        </is>
      </c>
      <c r="F429">
        <f>IF(E429="Income","Revenue",IF(OR(E429="Materials",E429="Labor",E429="Dump Fees"),"COGS",IF(OR(E429="Fuel",E429="Insurance",E429="Tools",E429="Repairs"),"Expense","Non-Deductible")))</f>
        <v/>
      </c>
      <c r="G429" t="inlineStr">
        <is>
          <t>Non-Deductible</t>
        </is>
      </c>
      <c r="H429">
        <f>IF(G429&lt;&gt;F429,"YES","NO")</f>
        <v/>
      </c>
      <c r="I429" t="inlineStr"/>
      <c r="J429" t="inlineStr"/>
    </row>
    <row r="430">
      <c r="A430" s="5" t="n">
        <v>45876</v>
      </c>
      <c r="B430" t="inlineStr">
        <is>
          <t>Other Withdrawals - Zelle Instant PMT To Nadia Session</t>
        </is>
      </c>
      <c r="C430" t="n">
        <v>487</v>
      </c>
      <c r="D430" t="inlineStr">
        <is>
          <t>Debit</t>
        </is>
      </c>
      <c r="E430" t="inlineStr">
        <is>
          <t>Tools</t>
        </is>
      </c>
      <c r="F430">
        <f>IF(E430="Income","Revenue",IF(OR(E430="Materials",E430="Labor",E430="Dump Fees"),"COGS",IF(OR(E430="Fuel",E430="Insurance",E430="Tools",E430="Repairs"),"Expense","Non-Deductible")))</f>
        <v/>
      </c>
      <c r="G430" t="inlineStr">
        <is>
          <t>Expense</t>
        </is>
      </c>
      <c r="H430">
        <f>IF(G430&lt;&gt;F430,"YES","NO")</f>
        <v/>
      </c>
      <c r="I430" t="inlineStr"/>
      <c r="J430" t="inlineStr"/>
    </row>
    <row r="431">
      <c r="A431" s="5" t="n">
        <v>45877</v>
      </c>
      <c r="B431" t="inlineStr">
        <is>
          <t>Other Deposits - Mobile Check Deposit 9212765842</t>
        </is>
      </c>
      <c r="C431" t="n">
        <v>3500</v>
      </c>
      <c r="D431" t="inlineStr">
        <is>
          <t>Credit</t>
        </is>
      </c>
      <c r="E431" t="inlineStr">
        <is>
          <t>Income</t>
        </is>
      </c>
      <c r="F431">
        <f>IF(E431="Income","Revenue",IF(OR(E431="Materials",E431="Labor",E431="Dump Fees"),"COGS",IF(OR(E431="Fuel",E431="Insurance",E431="Tools",E431="Repairs"),"Expense","Non-Deductible")))</f>
        <v/>
      </c>
      <c r="G431" t="inlineStr">
        <is>
          <t>Revenue</t>
        </is>
      </c>
      <c r="H431">
        <f>IF(G431&lt;&gt;F431,"YES","NO")</f>
        <v/>
      </c>
      <c r="I431" t="inlineStr"/>
      <c r="J431" t="inlineStr"/>
    </row>
    <row r="432">
      <c r="A432" s="5" t="n">
        <v>45877</v>
      </c>
      <c r="B432" t="inlineStr">
        <is>
          <t>Other Withdrawals - Electronic Withdrawal To MISSION LANE</t>
        </is>
      </c>
      <c r="C432" t="n">
        <v>500</v>
      </c>
      <c r="D432" t="inlineStr">
        <is>
          <t>Debit</t>
        </is>
      </c>
      <c r="E432" t="inlineStr">
        <is>
          <t>Tools</t>
        </is>
      </c>
      <c r="F432">
        <f>IF(E432="Income","Revenue",IF(OR(E432="Materials",E432="Labor",E432="Dump Fees"),"COGS",IF(OR(E432="Fuel",E432="Insurance",E432="Tools",E432="Repairs"),"Expense","Non-Deductible")))</f>
        <v/>
      </c>
      <c r="G432" t="inlineStr">
        <is>
          <t>Expense</t>
        </is>
      </c>
      <c r="H432">
        <f>IF(G432&lt;&gt;F432,"YES","NO")</f>
        <v/>
      </c>
      <c r="I432" t="inlineStr"/>
      <c r="J432" t="inlineStr"/>
    </row>
    <row r="433">
      <c r="A433" s="5" t="n">
        <v>45877</v>
      </c>
      <c r="B433" t="inlineStr">
        <is>
          <t>Other Withdrawals - Mobile Banking Transfer To Account 152316875235</t>
        </is>
      </c>
      <c r="C433" t="n">
        <v>500</v>
      </c>
      <c r="D433" t="inlineStr">
        <is>
          <t>Debit</t>
        </is>
      </c>
      <c r="E433" t="inlineStr">
        <is>
          <t>Transfer</t>
        </is>
      </c>
      <c r="F433">
        <f>IF(E433="Income","Revenue",IF(OR(E433="Materials",E433="Labor",E433="Dump Fees"),"COGS",IF(OR(E433="Fuel",E433="Insurance",E433="Tools",E433="Repairs"),"Expense","Non-Deductible")))</f>
        <v/>
      </c>
      <c r="G433" t="inlineStr">
        <is>
          <t>Non-Deductible</t>
        </is>
      </c>
      <c r="H433">
        <f>IF(G433&lt;&gt;F433,"YES","NO")</f>
        <v/>
      </c>
      <c r="I433" t="inlineStr"/>
      <c r="J433" t="inlineStr"/>
    </row>
    <row r="434">
      <c r="A434" s="5" t="n">
        <v>45877</v>
      </c>
      <c r="B434" t="inlineStr">
        <is>
          <t>Other Withdrawals - Zelle Instant PMT To Brian Davis</t>
        </is>
      </c>
      <c r="C434" t="n">
        <v>48.02</v>
      </c>
      <c r="D434" t="inlineStr">
        <is>
          <t>Debit</t>
        </is>
      </c>
      <c r="E434" t="inlineStr">
        <is>
          <t>Labor</t>
        </is>
      </c>
      <c r="F434">
        <f>IF(E434="Income","Revenue",IF(OR(E434="Materials",E434="Labor",E434="Dump Fees"),"COGS",IF(OR(E434="Fuel",E434="Insurance",E434="Tools",E434="Repairs"),"Expense","Non-Deductible")))</f>
        <v/>
      </c>
      <c r="G434" t="inlineStr">
        <is>
          <t>COGS</t>
        </is>
      </c>
      <c r="H434">
        <f>IF(G434&lt;&gt;F434,"YES","NO")</f>
        <v/>
      </c>
      <c r="I434" t="inlineStr"/>
      <c r="J434" t="inlineStr">
        <is>
          <t>Bryan</t>
        </is>
      </c>
    </row>
    <row r="435">
      <c r="A435" s="5" t="n">
        <v>45877</v>
      </c>
      <c r="B435" t="inlineStr">
        <is>
          <t>Other Withdrawals - Zelle Instant PMT To Brian Davis</t>
        </is>
      </c>
      <c r="C435" t="n">
        <v>165</v>
      </c>
      <c r="D435" t="inlineStr">
        <is>
          <t>Debit</t>
        </is>
      </c>
      <c r="E435" t="inlineStr">
        <is>
          <t>Labor</t>
        </is>
      </c>
      <c r="F435">
        <f>IF(E435="Income","Revenue",IF(OR(E435="Materials",E435="Labor",E435="Dump Fees"),"COGS",IF(OR(E435="Fuel",E435="Insurance",E435="Tools",E435="Repairs"),"Expense","Non-Deductible")))</f>
        <v/>
      </c>
      <c r="G435" t="inlineStr">
        <is>
          <t>COGS</t>
        </is>
      </c>
      <c r="H435">
        <f>IF(G435&lt;&gt;F435,"YES","NO")</f>
        <v/>
      </c>
      <c r="I435" t="inlineStr"/>
      <c r="J435" t="inlineStr">
        <is>
          <t>Bryan</t>
        </is>
      </c>
    </row>
    <row r="436">
      <c r="A436" s="5" t="n">
        <v>45877</v>
      </c>
      <c r="B436" t="inlineStr">
        <is>
          <t>Other Withdrawals - Zelle Instant PMT To Casey Williamson</t>
        </is>
      </c>
      <c r="C436" t="n">
        <v>525</v>
      </c>
      <c r="D436" t="inlineStr">
        <is>
          <t>Debit</t>
        </is>
      </c>
      <c r="E436" t="inlineStr">
        <is>
          <t>Labor</t>
        </is>
      </c>
      <c r="F436">
        <f>IF(E436="Income","Revenue",IF(OR(E436="Materials",E436="Labor",E436="Dump Fees"),"COGS",IF(OR(E436="Fuel",E436="Insurance",E436="Tools",E436="Repairs"),"Expense","Non-Deductible")))</f>
        <v/>
      </c>
      <c r="G436" t="inlineStr">
        <is>
          <t>COGS</t>
        </is>
      </c>
      <c r="H436">
        <f>IF(G436&lt;&gt;F436,"YES","NO")</f>
        <v/>
      </c>
      <c r="I436" t="inlineStr"/>
      <c r="J436" t="inlineStr">
        <is>
          <t>Casey</t>
        </is>
      </c>
    </row>
    <row r="437">
      <c r="A437" s="5" t="n">
        <v>45902</v>
      </c>
      <c r="B437" t="inlineStr">
        <is>
          <t>Other Withdrawals - Electronic Withdrawal To STATE FARM BILLG</t>
        </is>
      </c>
      <c r="C437" t="n">
        <v>294.97</v>
      </c>
      <c r="D437" t="inlineStr">
        <is>
          <t>Debit</t>
        </is>
      </c>
      <c r="E437" t="inlineStr">
        <is>
          <t>Insurance</t>
        </is>
      </c>
      <c r="F437">
        <f>IF(E437="Income","Revenue",IF(OR(E437="Materials",E437="Labor",E437="Dump Fees"),"COGS",IF(OR(E437="Fuel",E437="Insurance",E437="Tools",E437="Repairs"),"Expense","Non-Deductible")))</f>
        <v/>
      </c>
      <c r="G437" t="inlineStr">
        <is>
          <t>Expense</t>
        </is>
      </c>
      <c r="H437">
        <f>IF(G437&lt;&gt;F437,"YES","NO")</f>
        <v/>
      </c>
      <c r="I437" t="inlineStr"/>
      <c r="J437" t="inlineStr"/>
    </row>
    <row r="438">
      <c r="A438" s="5" t="n">
        <v>45902</v>
      </c>
      <c r="B438" t="inlineStr">
        <is>
          <t>Other Withdrawals - Mobile Banking Transfer To Account 152316875235 $</t>
        </is>
      </c>
      <c r="C438" t="n">
        <v>200</v>
      </c>
      <c r="D438" t="inlineStr">
        <is>
          <t>Debit</t>
        </is>
      </c>
      <c r="E438" t="inlineStr">
        <is>
          <t>Transfer</t>
        </is>
      </c>
      <c r="F438">
        <f>IF(E438="Income","Revenue",IF(OR(E438="Materials",E438="Labor",E438="Dump Fees"),"COGS",IF(OR(E438="Fuel",E438="Insurance",E438="Tools",E438="Repairs"),"Expense","Non-Deductible")))</f>
        <v/>
      </c>
      <c r="G438" t="inlineStr">
        <is>
          <t>Non-Deductible</t>
        </is>
      </c>
      <c r="H438">
        <f>IF(G438&lt;&gt;F438,"YES","NO")</f>
        <v/>
      </c>
      <c r="I438" t="inlineStr"/>
      <c r="J438" t="inlineStr"/>
    </row>
    <row r="439">
      <c r="A439" s="5" t="n">
        <v>45903</v>
      </c>
      <c r="B439" t="inlineStr">
        <is>
          <t>Other Withdrawals - Electronic Withdrawal To DISCOVER</t>
        </is>
      </c>
      <c r="C439" t="n">
        <v>138.86</v>
      </c>
      <c r="D439" t="inlineStr">
        <is>
          <t>Debit</t>
        </is>
      </c>
      <c r="E439" t="inlineStr">
        <is>
          <t>Tools</t>
        </is>
      </c>
      <c r="F439">
        <f>IF(E439="Income","Revenue",IF(OR(E439="Materials",E439="Labor",E439="Dump Fees"),"COGS",IF(OR(E439="Fuel",E439="Insurance",E439="Tools",E439="Repairs"),"Expense","Non-Deductible")))</f>
        <v/>
      </c>
      <c r="G439" t="inlineStr">
        <is>
          <t>Expense</t>
        </is>
      </c>
      <c r="H439">
        <f>IF(G439&lt;&gt;F439,"YES","NO")</f>
        <v/>
      </c>
      <c r="I439" t="inlineStr"/>
      <c r="J439" t="inlineStr"/>
    </row>
    <row r="440">
      <c r="A440" s="5" t="n">
        <v>45904</v>
      </c>
      <c r="B440" t="inlineStr">
        <is>
          <t>Other Withdrawals - Mobile Banking Payment To Credit Card *************3424</t>
        </is>
      </c>
      <c r="C440" t="n">
        <v>50</v>
      </c>
      <c r="D440" t="inlineStr">
        <is>
          <t>Debit</t>
        </is>
      </c>
      <c r="E440" t="inlineStr">
        <is>
          <t>Fuel</t>
        </is>
      </c>
      <c r="F440">
        <f>IF(E440="Income","Revenue",IF(OR(E440="Materials",E440="Labor",E440="Dump Fees"),"COGS",IF(OR(E440="Fuel",E440="Insurance",E440="Tools",E440="Repairs"),"Expense","Non-Deductible")))</f>
        <v/>
      </c>
      <c r="G440" t="inlineStr">
        <is>
          <t>Expense</t>
        </is>
      </c>
      <c r="H440">
        <f>IF(G440&lt;&gt;F440,"YES","NO")</f>
        <v/>
      </c>
      <c r="I440" t="inlineStr"/>
      <c r="J440" t="inlineStr"/>
    </row>
    <row r="441">
      <c r="A441" s="5" t="n">
        <v>45904</v>
      </c>
      <c r="B441" t="inlineStr">
        <is>
          <t>Other Withdrawals - Mobile Banking Payment To Credit Card *************3424</t>
        </is>
      </c>
      <c r="C441" t="n">
        <v>100</v>
      </c>
      <c r="D441" t="inlineStr">
        <is>
          <t>Debit</t>
        </is>
      </c>
      <c r="E441" t="inlineStr">
        <is>
          <t>Fuel</t>
        </is>
      </c>
      <c r="F441">
        <f>IF(E441="Income","Revenue",IF(OR(E441="Materials",E441="Labor",E441="Dump Fees"),"COGS",IF(OR(E441="Fuel",E441="Insurance",E441="Tools",E441="Repairs"),"Expense","Non-Deductible")))</f>
        <v/>
      </c>
      <c r="G441" t="inlineStr">
        <is>
          <t>Expense</t>
        </is>
      </c>
      <c r="H441">
        <f>IF(G441&lt;&gt;F441,"YES","NO")</f>
        <v/>
      </c>
      <c r="I441" t="inlineStr"/>
      <c r="J441" t="inlineStr"/>
    </row>
    <row r="442">
      <c r="A442" s="5" t="n">
        <v>45904</v>
      </c>
      <c r="B442" t="inlineStr">
        <is>
          <t>Other Withdrawals - Mobile Banking Payment To Credit Card *************3424</t>
        </is>
      </c>
      <c r="C442" t="n">
        <v>250</v>
      </c>
      <c r="D442" t="inlineStr">
        <is>
          <t>Debit</t>
        </is>
      </c>
      <c r="E442" t="inlineStr">
        <is>
          <t>Fuel</t>
        </is>
      </c>
      <c r="F442">
        <f>IF(E442="Income","Revenue",IF(OR(E442="Materials",E442="Labor",E442="Dump Fees"),"COGS",IF(OR(E442="Fuel",E442="Insurance",E442="Tools",E442="Repairs"),"Expense","Non-Deductible")))</f>
        <v/>
      </c>
      <c r="G442" t="inlineStr">
        <is>
          <t>Expense</t>
        </is>
      </c>
      <c r="H442">
        <f>IF(G442&lt;&gt;F442,"YES","NO")</f>
        <v/>
      </c>
      <c r="I442" t="inlineStr"/>
      <c r="J442" t="inlineStr"/>
    </row>
    <row r="443">
      <c r="A443" s="5" t="n">
        <v>45904</v>
      </c>
      <c r="B443" t="inlineStr">
        <is>
          <t>Other Withdrawals - Mobile Banking Payment To Credit Card *************6452</t>
        </is>
      </c>
      <c r="C443" t="n">
        <v>1286.16</v>
      </c>
      <c r="D443" t="inlineStr">
        <is>
          <t>Debit</t>
        </is>
      </c>
      <c r="E443" t="inlineStr">
        <is>
          <t>Fuel</t>
        </is>
      </c>
      <c r="F443">
        <f>IF(E443="Income","Revenue",IF(OR(E443="Materials",E443="Labor",E443="Dump Fees"),"COGS",IF(OR(E443="Fuel",E443="Insurance",E443="Tools",E443="Repairs"),"Expense","Non-Deductible")))</f>
        <v/>
      </c>
      <c r="G443" t="inlineStr">
        <is>
          <t>Expense</t>
        </is>
      </c>
      <c r="H443">
        <f>IF(G443&lt;&gt;F443,"YES","NO")</f>
        <v/>
      </c>
      <c r="I443" t="inlineStr"/>
      <c r="J443" t="inlineStr"/>
    </row>
    <row r="444">
      <c r="A444" s="5" t="n">
        <v>45904</v>
      </c>
      <c r="B444" t="inlineStr">
        <is>
          <t>Other Withdrawals - Mobile Banking Transfer To Account 152316875235</t>
        </is>
      </c>
      <c r="C444" t="n">
        <v>5000</v>
      </c>
      <c r="D444" t="inlineStr">
        <is>
          <t>Debit</t>
        </is>
      </c>
      <c r="E444" t="inlineStr">
        <is>
          <t>Transfer</t>
        </is>
      </c>
      <c r="F444">
        <f>IF(E444="Income","Revenue",IF(OR(E444="Materials",E444="Labor",E444="Dump Fees"),"COGS",IF(OR(E444="Fuel",E444="Insurance",E444="Tools",E444="Repairs"),"Expense","Non-Deductible")))</f>
        <v/>
      </c>
      <c r="G444" t="inlineStr">
        <is>
          <t>Non-Deductible</t>
        </is>
      </c>
      <c r="H444">
        <f>IF(G444&lt;&gt;F444,"YES","NO")</f>
        <v/>
      </c>
      <c r="I444" t="inlineStr"/>
      <c r="J444" t="inlineStr"/>
    </row>
    <row r="445">
      <c r="A445" s="5" t="n">
        <v>45905</v>
      </c>
      <c r="B445" t="inlineStr">
        <is>
          <t>Other Withdrawals - 16,934.15 Sep15 17,999.23 Sep24</t>
        </is>
      </c>
      <c r="C445" t="n">
        <v>12887.54</v>
      </c>
      <c r="D445" t="inlineStr">
        <is>
          <t>Credit</t>
        </is>
      </c>
      <c r="E445" t="inlineStr">
        <is>
          <t>Income</t>
        </is>
      </c>
      <c r="F445">
        <f>IF(E445="Income","Revenue",IF(OR(E445="Materials",E445="Labor",E445="Dump Fees"),"COGS",IF(OR(E445="Fuel",E445="Insurance",E445="Tools",E445="Repairs"),"Expense","Non-Deductible")))</f>
        <v/>
      </c>
      <c r="G445" t="inlineStr">
        <is>
          <t>Revenue</t>
        </is>
      </c>
      <c r="H445">
        <f>IF(G445&lt;&gt;F445,"YES","NO")</f>
        <v/>
      </c>
      <c r="I445" t="inlineStr"/>
      <c r="J445" t="inlineStr"/>
    </row>
    <row r="446">
      <c r="A446" s="5" t="n">
        <v>45905</v>
      </c>
      <c r="B446" t="inlineStr">
        <is>
          <t>Other Withdrawals - Electronic Withdrawal To DISCOVER</t>
        </is>
      </c>
      <c r="C446" t="n">
        <v>100</v>
      </c>
      <c r="D446" t="inlineStr">
        <is>
          <t>Debit</t>
        </is>
      </c>
      <c r="E446" t="inlineStr">
        <is>
          <t>Tools</t>
        </is>
      </c>
      <c r="F446">
        <f>IF(E446="Income","Revenue",IF(OR(E446="Materials",E446="Labor",E446="Dump Fees"),"COGS",IF(OR(E446="Fuel",E446="Insurance",E446="Tools",E446="Repairs"),"Expense","Non-Deductible")))</f>
        <v/>
      </c>
      <c r="G446" t="inlineStr">
        <is>
          <t>Expense</t>
        </is>
      </c>
      <c r="H446">
        <f>IF(G446&lt;&gt;F446,"YES","NO")</f>
        <v/>
      </c>
      <c r="I446" t="inlineStr"/>
      <c r="J446" t="inlineStr"/>
    </row>
    <row r="447">
      <c r="A447" s="5" t="n">
        <v>45905</v>
      </c>
      <c r="B447" t="inlineStr">
        <is>
          <t>Other Withdrawals - Electronic Withdrawal To MERCURY CARD FBT</t>
        </is>
      </c>
      <c r="C447" t="n">
        <v>500</v>
      </c>
      <c r="D447" t="inlineStr">
        <is>
          <t>Debit</t>
        </is>
      </c>
      <c r="E447" t="inlineStr">
        <is>
          <t>Tools</t>
        </is>
      </c>
      <c r="F447">
        <f>IF(E447="Income","Revenue",IF(OR(E447="Materials",E447="Labor",E447="Dump Fees"),"COGS",IF(OR(E447="Fuel",E447="Insurance",E447="Tools",E447="Repairs"),"Expense","Non-Deductible")))</f>
        <v/>
      </c>
      <c r="G447" t="inlineStr">
        <is>
          <t>Expense</t>
        </is>
      </c>
      <c r="H447">
        <f>IF(G447&lt;&gt;F447,"YES","NO")</f>
        <v/>
      </c>
      <c r="I447" t="inlineStr"/>
      <c r="J447" t="inlineStr"/>
    </row>
    <row r="448">
      <c r="A448" s="5" t="n">
        <v>45905</v>
      </c>
      <c r="B448" t="inlineStr">
        <is>
          <t>Other Withdrawals - Zelle Instant PMT To Brian Davis</t>
        </is>
      </c>
      <c r="C448" t="n">
        <v>1400</v>
      </c>
      <c r="D448" t="inlineStr">
        <is>
          <t>Debit</t>
        </is>
      </c>
      <c r="E448" t="inlineStr">
        <is>
          <t>Labor</t>
        </is>
      </c>
      <c r="F448">
        <f>IF(E448="Income","Revenue",IF(OR(E448="Materials",E448="Labor",E448="Dump Fees"),"COGS",IF(OR(E448="Fuel",E448="Insurance",E448="Tools",E448="Repairs"),"Expense","Non-Deductible")))</f>
        <v/>
      </c>
      <c r="G448" t="inlineStr">
        <is>
          <t>COGS</t>
        </is>
      </c>
      <c r="H448">
        <f>IF(G448&lt;&gt;F448,"YES","NO")</f>
        <v/>
      </c>
      <c r="I448" t="inlineStr"/>
      <c r="J448" t="inlineStr">
        <is>
          <t>Bryan</t>
        </is>
      </c>
    </row>
    <row r="449">
      <c r="A449" s="5" t="n">
        <v>45908</v>
      </c>
      <c r="B449" t="inlineStr">
        <is>
          <t>Other Withdrawals - 16,108.15 Sep17 14,627.54 Sep25</t>
        </is>
      </c>
      <c r="C449" t="n">
        <v>12672.54</v>
      </c>
      <c r="D449" t="inlineStr">
        <is>
          <t>Credit</t>
        </is>
      </c>
      <c r="E449" t="inlineStr">
        <is>
          <t>Income</t>
        </is>
      </c>
      <c r="F449">
        <f>IF(E449="Income","Revenue",IF(OR(E449="Materials",E449="Labor",E449="Dump Fees"),"COGS",IF(OR(E449="Fuel",E449="Insurance",E449="Tools",E449="Repairs"),"Expense","Non-Deductible")))</f>
        <v/>
      </c>
      <c r="G449" t="inlineStr">
        <is>
          <t>Revenue</t>
        </is>
      </c>
      <c r="H449">
        <f>IF(G449&lt;&gt;F449,"YES","NO")</f>
        <v/>
      </c>
      <c r="I449" t="inlineStr"/>
      <c r="J449" t="inlineStr"/>
    </row>
    <row r="450">
      <c r="A450" s="5" t="n">
        <v>45908</v>
      </c>
      <c r="B450" t="inlineStr">
        <is>
          <t>Other Withdrawals - Zelle Instant PMT To Nadia Session</t>
        </is>
      </c>
      <c r="C450" t="n">
        <v>100</v>
      </c>
      <c r="D450" t="inlineStr">
        <is>
          <t>Debit</t>
        </is>
      </c>
      <c r="E450" t="inlineStr">
        <is>
          <t>Tools</t>
        </is>
      </c>
      <c r="F450">
        <f>IF(E450="Income","Revenue",IF(OR(E450="Materials",E450="Labor",E450="Dump Fees"),"COGS",IF(OR(E450="Fuel",E450="Insurance",E450="Tools",E450="Repairs"),"Expense","Non-Deductible")))</f>
        <v/>
      </c>
      <c r="G450" t="inlineStr">
        <is>
          <t>Expense</t>
        </is>
      </c>
      <c r="H450">
        <f>IF(G450&lt;&gt;F450,"YES","NO")</f>
        <v/>
      </c>
      <c r="I450" t="inlineStr"/>
      <c r="J450" t="inlineStr"/>
    </row>
    <row r="451">
      <c r="A451" s="5" t="n">
        <v>45908</v>
      </c>
      <c r="B451" t="inlineStr">
        <is>
          <t>Other Withdrawals - Zelle Instant PMT To Nadia Session</t>
        </is>
      </c>
      <c r="C451" t="n">
        <v>487</v>
      </c>
      <c r="D451" t="inlineStr">
        <is>
          <t>Debit</t>
        </is>
      </c>
      <c r="E451" t="inlineStr">
        <is>
          <t>Tools</t>
        </is>
      </c>
      <c r="F451">
        <f>IF(E451="Income","Revenue",IF(OR(E451="Materials",E451="Labor",E451="Dump Fees"),"COGS",IF(OR(E451="Fuel",E451="Insurance",E451="Tools",E451="Repairs"),"Expense","Non-Deductible")))</f>
        <v/>
      </c>
      <c r="G451" t="inlineStr">
        <is>
          <t>Expense</t>
        </is>
      </c>
      <c r="H451">
        <f>IF(G451&lt;&gt;F451,"YES","NO")</f>
        <v/>
      </c>
      <c r="I451" t="inlineStr"/>
      <c r="J451" t="inlineStr"/>
    </row>
    <row r="452">
      <c r="A452" s="5" t="n">
        <v>45908</v>
      </c>
      <c r="B452" t="inlineStr">
        <is>
          <t>Other Withdrawals - Zelle Instant PMT To Tabitha Session</t>
        </is>
      </c>
      <c r="C452" t="n">
        <v>239</v>
      </c>
      <c r="D452" t="inlineStr">
        <is>
          <t>Debit</t>
        </is>
      </c>
      <c r="E452" t="inlineStr">
        <is>
          <t>Tools</t>
        </is>
      </c>
      <c r="F452">
        <f>IF(E452="Income","Revenue",IF(OR(E452="Materials",E452="Labor",E452="Dump Fees"),"COGS",IF(OR(E452="Fuel",E452="Insurance",E452="Tools",E452="Repairs"),"Expense","Non-Deductible")))</f>
        <v/>
      </c>
      <c r="G452" t="inlineStr">
        <is>
          <t>Expense</t>
        </is>
      </c>
      <c r="H452">
        <f>IF(G452&lt;&gt;F452,"YES","NO")</f>
        <v/>
      </c>
      <c r="I452" t="inlineStr"/>
      <c r="J452" t="inlineStr"/>
    </row>
    <row r="453">
      <c r="A453" s="5" t="n">
        <v>45909</v>
      </c>
      <c r="B453" t="inlineStr">
        <is>
          <t>Other Withdrawals - 14,565.69 Sep19 13,537.54 Sep26</t>
        </is>
      </c>
      <c r="C453" t="n">
        <v>13006.1</v>
      </c>
      <c r="D453" t="inlineStr">
        <is>
          <t>Credit</t>
        </is>
      </c>
      <c r="E453" t="inlineStr">
        <is>
          <t>Income</t>
        </is>
      </c>
      <c r="F453">
        <f>IF(E453="Income","Revenue",IF(OR(E453="Materials",E453="Labor",E453="Dump Fees"),"COGS",IF(OR(E453="Fuel",E453="Insurance",E453="Tools",E453="Repairs"),"Expense","Non-Deductible")))</f>
        <v/>
      </c>
      <c r="G453" t="inlineStr">
        <is>
          <t>Revenue</t>
        </is>
      </c>
      <c r="H453">
        <f>IF(G453&lt;&gt;F453,"YES","NO")</f>
        <v/>
      </c>
      <c r="I453" t="inlineStr"/>
      <c r="J453" t="inlineStr"/>
    </row>
    <row r="454">
      <c r="A454" s="5" t="n">
        <v>45909</v>
      </c>
      <c r="B454" t="inlineStr">
        <is>
          <t>Other Withdrawals - Electronic Withdrawal To CEFCU TEL DEBIT</t>
        </is>
      </c>
      <c r="C454" t="n">
        <v>1042.46</v>
      </c>
      <c r="D454" t="inlineStr">
        <is>
          <t>Debit</t>
        </is>
      </c>
      <c r="E454" t="inlineStr">
        <is>
          <t>Tools</t>
        </is>
      </c>
      <c r="F454">
        <f>IF(E454="Income","Revenue",IF(OR(E454="Materials",E454="Labor",E454="Dump Fees"),"COGS",IF(OR(E454="Fuel",E454="Insurance",E454="Tools",E454="Repairs"),"Expense","Non-Deductible")))</f>
        <v/>
      </c>
      <c r="G454" t="inlineStr">
        <is>
          <t>Expense</t>
        </is>
      </c>
      <c r="H454">
        <f>IF(G454&lt;&gt;F454,"YES","NO")</f>
        <v/>
      </c>
      <c r="I454" t="inlineStr"/>
      <c r="J454" t="inlineStr"/>
    </row>
    <row r="455">
      <c r="A455" s="5" t="n">
        <v>45909</v>
      </c>
      <c r="B455" t="inlineStr">
        <is>
          <t>Other Withdrawals - Electronic Withdrawal To MERCURY CARD FBT</t>
        </is>
      </c>
      <c r="C455" t="n">
        <v>500</v>
      </c>
      <c r="D455" t="inlineStr">
        <is>
          <t>Debit</t>
        </is>
      </c>
      <c r="E455" t="inlineStr">
        <is>
          <t>Tools</t>
        </is>
      </c>
      <c r="F455">
        <f>IF(E455="Income","Revenue",IF(OR(E455="Materials",E455="Labor",E455="Dump Fees"),"COGS",IF(OR(E455="Fuel",E455="Insurance",E455="Tools",E455="Repairs"),"Expense","Non-Deductible")))</f>
        <v/>
      </c>
      <c r="G455" t="inlineStr">
        <is>
          <t>Expense</t>
        </is>
      </c>
      <c r="H455">
        <f>IF(G455&lt;&gt;F455,"YES","NO")</f>
        <v/>
      </c>
      <c r="I455" t="inlineStr"/>
      <c r="J455" t="inlineStr"/>
    </row>
    <row r="456">
      <c r="A456" s="5" t="n">
        <v>45931</v>
      </c>
      <c r="B456" t="inlineStr">
        <is>
          <t>Card Withdrawals - Debit Purchase TRACTOR SUPPLY # BELLEVILLE IL 6809301853 $</t>
        </is>
      </c>
      <c r="C456" t="n">
        <v>139.93</v>
      </c>
      <c r="D456" t="inlineStr">
        <is>
          <t>Debit</t>
        </is>
      </c>
      <c r="E456" t="inlineStr">
        <is>
          <t>Tools</t>
        </is>
      </c>
      <c r="F456">
        <f>IF(E456="Income","Revenue",IF(OR(E456="Materials",E456="Labor",E456="Dump Fees"),"COGS",IF(OR(E456="Fuel",E456="Insurance",E456="Tools",E456="Repairs"),"Expense","Non-Deductible")))</f>
        <v/>
      </c>
      <c r="G456" t="inlineStr">
        <is>
          <t>Expense</t>
        </is>
      </c>
      <c r="H456">
        <f>IF(G456&lt;&gt;F456,"YES","NO")</f>
        <v/>
      </c>
      <c r="I456" t="inlineStr"/>
      <c r="J456" t="inlineStr"/>
    </row>
    <row r="457">
      <c r="A457" s="5" t="n">
        <v>45931</v>
      </c>
      <c r="B457" t="inlineStr">
        <is>
          <t>Other Withdrawals - Electronic Withdrawal To STATE FARM RO 27 $</t>
        </is>
      </c>
      <c r="C457" t="n">
        <v>294.97</v>
      </c>
      <c r="D457" t="inlineStr">
        <is>
          <t>Debit</t>
        </is>
      </c>
      <c r="E457" t="inlineStr">
        <is>
          <t>Insurance</t>
        </is>
      </c>
      <c r="F457">
        <f>IF(E457="Income","Revenue",IF(OR(E457="Materials",E457="Labor",E457="Dump Fees"),"COGS",IF(OR(E457="Fuel",E457="Insurance",E457="Tools",E457="Repairs"),"Expense","Non-Deductible")))</f>
        <v/>
      </c>
      <c r="G457" t="inlineStr">
        <is>
          <t>Expense</t>
        </is>
      </c>
      <c r="H457">
        <f>IF(G457&lt;&gt;F457,"YES","NO")</f>
        <v/>
      </c>
      <c r="I457" t="inlineStr"/>
      <c r="J457" t="inlineStr"/>
    </row>
    <row r="458">
      <c r="A458" s="5" t="n">
        <v>45931</v>
      </c>
      <c r="B458" t="inlineStr">
        <is>
          <t>Other Withdrawals - Mobile Banking Transfer To Account 152316875235</t>
        </is>
      </c>
      <c r="C458" t="n">
        <v>435</v>
      </c>
      <c r="D458" t="inlineStr">
        <is>
          <t>Debit</t>
        </is>
      </c>
      <c r="E458" t="inlineStr">
        <is>
          <t>Transfer</t>
        </is>
      </c>
      <c r="F458">
        <f>IF(E458="Income","Revenue",IF(OR(E458="Materials",E458="Labor",E458="Dump Fees"),"COGS",IF(OR(E458="Fuel",E458="Insurance",E458="Tools",E458="Repairs"),"Expense","Non-Deductible")))</f>
        <v/>
      </c>
      <c r="G458" t="inlineStr">
        <is>
          <t>Non-Deductible</t>
        </is>
      </c>
      <c r="H458">
        <f>IF(G458&lt;&gt;F458,"YES","NO")</f>
        <v/>
      </c>
      <c r="I458" t="inlineStr"/>
      <c r="J458" t="inlineStr"/>
    </row>
    <row r="459">
      <c r="A459" s="5" t="n">
        <v>45932</v>
      </c>
      <c r="B459" t="inlineStr">
        <is>
          <t>Card Withdrawals - Debit Purchase - VISA On 100125 LITCHFIELD IL 5000029406</t>
        </is>
      </c>
      <c r="C459" t="n">
        <v>7.78</v>
      </c>
      <c r="D459" t="inlineStr">
        <is>
          <t>Debit</t>
        </is>
      </c>
      <c r="E459" t="inlineStr">
        <is>
          <t>Tools</t>
        </is>
      </c>
      <c r="F459">
        <f>IF(E459="Income","Revenue",IF(OR(E459="Materials",E459="Labor",E459="Dump Fees"),"COGS",IF(OR(E459="Fuel",E459="Insurance",E459="Tools",E459="Repairs"),"Expense","Non-Deductible")))</f>
        <v/>
      </c>
      <c r="G459" t="inlineStr">
        <is>
          <t>Expense</t>
        </is>
      </c>
      <c r="H459">
        <f>IF(G459&lt;&gt;F459,"YES","NO")</f>
        <v/>
      </c>
      <c r="I459" t="inlineStr"/>
      <c r="J459" t="inlineStr"/>
    </row>
    <row r="460">
      <c r="A460" s="5" t="n">
        <v>45932</v>
      </c>
      <c r="B460" t="inlineStr">
        <is>
          <t>Other Deposits - Mobile Banking Transfer From Account 152316874980</t>
        </is>
      </c>
      <c r="C460" t="n">
        <v>11000</v>
      </c>
      <c r="D460" t="inlineStr">
        <is>
          <t>Credit</t>
        </is>
      </c>
      <c r="E460" t="inlineStr">
        <is>
          <t>Transfer</t>
        </is>
      </c>
      <c r="F460">
        <f>IF(E460="Income","Revenue",IF(OR(E460="Materials",E460="Labor",E460="Dump Fees"),"COGS",IF(OR(E460="Fuel",E460="Insurance",E460="Tools",E460="Repairs"),"Expense","Non-Deductible")))</f>
        <v/>
      </c>
      <c r="G460" t="inlineStr">
        <is>
          <t>Non-Deductible</t>
        </is>
      </c>
      <c r="H460">
        <f>IF(G460&lt;&gt;F460,"YES","NO")</f>
        <v/>
      </c>
      <c r="I460" t="inlineStr"/>
      <c r="J460" t="inlineStr"/>
    </row>
    <row r="461">
      <c r="A461" s="5" t="n">
        <v>45932</v>
      </c>
      <c r="B461" t="inlineStr">
        <is>
          <t>Other Deposits - Real Time Payment Credit From VENMO $</t>
        </is>
      </c>
      <c r="C461" t="n">
        <v>3652</v>
      </c>
      <c r="D461" t="inlineStr">
        <is>
          <t>Credit</t>
        </is>
      </c>
      <c r="E461" t="inlineStr">
        <is>
          <t>Income</t>
        </is>
      </c>
      <c r="F461">
        <f>IF(E461="Income","Revenue",IF(OR(E461="Materials",E461="Labor",E461="Dump Fees"),"COGS",IF(OR(E461="Fuel",E461="Insurance",E461="Tools",E461="Repairs"),"Expense","Non-Deductible")))</f>
        <v/>
      </c>
      <c r="G461" t="inlineStr">
        <is>
          <t>Revenue</t>
        </is>
      </c>
      <c r="H461">
        <f>IF(G461&lt;&gt;F461,"YES","NO")</f>
        <v/>
      </c>
      <c r="I461" t="inlineStr"/>
      <c r="J461" t="inlineStr"/>
    </row>
    <row r="462">
      <c r="A462" s="5" t="n">
        <v>45932</v>
      </c>
      <c r="B462" t="inlineStr">
        <is>
          <t>Other Withdrawals - Mobile Banking Payment To Credit Card *************3424</t>
        </is>
      </c>
      <c r="C462" t="n">
        <v>1500</v>
      </c>
      <c r="D462" t="inlineStr">
        <is>
          <t>Debit</t>
        </is>
      </c>
      <c r="E462" t="inlineStr">
        <is>
          <t>Fuel</t>
        </is>
      </c>
      <c r="F462">
        <f>IF(E462="Income","Revenue",IF(OR(E462="Materials",E462="Labor",E462="Dump Fees"),"COGS",IF(OR(E462="Fuel",E462="Insurance",E462="Tools",E462="Repairs"),"Expense","Non-Deductible")))</f>
        <v/>
      </c>
      <c r="G462" t="inlineStr">
        <is>
          <t>Expense</t>
        </is>
      </c>
      <c r="H462">
        <f>IF(G462&lt;&gt;F462,"YES","NO")</f>
        <v/>
      </c>
      <c r="I462" t="inlineStr"/>
      <c r="J462" t="inlineStr"/>
    </row>
    <row r="463">
      <c r="A463" s="5" t="n">
        <v>45932</v>
      </c>
      <c r="B463" t="inlineStr">
        <is>
          <t>Other Withdrawals - Mobile Banking Payment To Credit Card *************6452</t>
        </is>
      </c>
      <c r="C463" t="n">
        <v>1262.46</v>
      </c>
      <c r="D463" t="inlineStr">
        <is>
          <t>Debit</t>
        </is>
      </c>
      <c r="E463" t="inlineStr">
        <is>
          <t>Fuel</t>
        </is>
      </c>
      <c r="F463">
        <f>IF(E463="Income","Revenue",IF(OR(E463="Materials",E463="Labor",E463="Dump Fees"),"COGS",IF(OR(E463="Fuel",E463="Insurance",E463="Tools",E463="Repairs"),"Expense","Non-Deductible")))</f>
        <v/>
      </c>
      <c r="G463" t="inlineStr">
        <is>
          <t>Expense</t>
        </is>
      </c>
      <c r="H463">
        <f>IF(G463&lt;&gt;F463,"YES","NO")</f>
        <v/>
      </c>
      <c r="I463" t="inlineStr"/>
      <c r="J463" t="inlineStr"/>
    </row>
    <row r="464">
      <c r="A464" s="5" t="n">
        <v>45932</v>
      </c>
      <c r="B464" t="inlineStr">
        <is>
          <t>Other Withdrawals - Mobile Banking Payment To Credit Card *************9563</t>
        </is>
      </c>
      <c r="C464" t="n">
        <v>190.06</v>
      </c>
      <c r="D464" t="inlineStr">
        <is>
          <t>Debit</t>
        </is>
      </c>
      <c r="E464" t="inlineStr">
        <is>
          <t>Fuel</t>
        </is>
      </c>
      <c r="F464">
        <f>IF(E464="Income","Revenue",IF(OR(E464="Materials",E464="Labor",E464="Dump Fees"),"COGS",IF(OR(E464="Fuel",E464="Insurance",E464="Tools",E464="Repairs"),"Expense","Non-Deductible")))</f>
        <v/>
      </c>
      <c r="G464" t="inlineStr">
        <is>
          <t>Expense</t>
        </is>
      </c>
      <c r="H464">
        <f>IF(G464&lt;&gt;F464,"YES","NO")</f>
        <v/>
      </c>
      <c r="I464" t="inlineStr"/>
      <c r="J464" t="inlineStr"/>
    </row>
    <row r="465">
      <c r="A465" s="5" t="n">
        <v>45932</v>
      </c>
      <c r="B465" t="inlineStr">
        <is>
          <t>Other Withdrawals - Mobile Banking Transfer To Account 152316875235</t>
        </is>
      </c>
      <c r="C465" t="n">
        <v>320</v>
      </c>
      <c r="D465" t="inlineStr">
        <is>
          <t>Debit</t>
        </is>
      </c>
      <c r="E465" t="inlineStr">
        <is>
          <t>Transfer</t>
        </is>
      </c>
      <c r="F465">
        <f>IF(E465="Income","Revenue",IF(OR(E465="Materials",E465="Labor",E465="Dump Fees"),"COGS",IF(OR(E465="Fuel",E465="Insurance",E465="Tools",E465="Repairs"),"Expense","Non-Deductible")))</f>
        <v/>
      </c>
      <c r="G465" t="inlineStr">
        <is>
          <t>Non-Deductible</t>
        </is>
      </c>
      <c r="H465">
        <f>IF(G465&lt;&gt;F465,"YES","NO")</f>
        <v/>
      </c>
      <c r="I465" t="inlineStr"/>
      <c r="J465" t="inlineStr"/>
    </row>
    <row r="466">
      <c r="A466" s="5" t="n">
        <v>45933</v>
      </c>
      <c r="B466" t="inlineStr">
        <is>
          <t>Card Withdrawals - Debit Purchase - VISA On 100125 Springfield IL 5100512526</t>
        </is>
      </c>
      <c r="C466" t="n">
        <v>148.31</v>
      </c>
      <c r="D466" t="inlineStr">
        <is>
          <t>Debit</t>
        </is>
      </c>
      <c r="E466" t="inlineStr">
        <is>
          <t>Tools</t>
        </is>
      </c>
      <c r="F466">
        <f>IF(E466="Income","Revenue",IF(OR(E466="Materials",E466="Labor",E466="Dump Fees"),"COGS",IF(OR(E466="Fuel",E466="Insurance",E466="Tools",E466="Repairs"),"Expense","Non-Deductible")))</f>
        <v/>
      </c>
      <c r="G466" t="inlineStr">
        <is>
          <t>Expense</t>
        </is>
      </c>
      <c r="H466">
        <f>IF(G466&lt;&gt;F466,"YES","NO")</f>
        <v/>
      </c>
      <c r="I466" t="inlineStr"/>
      <c r="J466" t="inlineStr"/>
    </row>
    <row r="467">
      <c r="A467" s="5" t="n">
        <v>45933</v>
      </c>
      <c r="B467" t="inlineStr">
        <is>
          <t>Other Withdrawals - Electronic Withdrawal To DISCOVER</t>
        </is>
      </c>
      <c r="C467" t="n">
        <v>162.61</v>
      </c>
      <c r="D467" t="inlineStr">
        <is>
          <t>Debit</t>
        </is>
      </c>
      <c r="E467" t="inlineStr">
        <is>
          <t>Tools</t>
        </is>
      </c>
      <c r="F467">
        <f>IF(E467="Income","Revenue",IF(OR(E467="Materials",E467="Labor",E467="Dump Fees"),"COGS",IF(OR(E467="Fuel",E467="Insurance",E467="Tools",E467="Repairs"),"Expense","Non-Deductible")))</f>
        <v/>
      </c>
      <c r="G467" t="inlineStr">
        <is>
          <t>Expense</t>
        </is>
      </c>
      <c r="H467">
        <f>IF(G467&lt;&gt;F467,"YES","NO")</f>
        <v/>
      </c>
      <c r="I467" t="inlineStr"/>
      <c r="J467" t="inlineStr"/>
    </row>
    <row r="468">
      <c r="A468" s="5" t="n">
        <v>45933</v>
      </c>
      <c r="B468" t="inlineStr">
        <is>
          <t>Other Withdrawals - Electronic Withdrawal To DISCOVER</t>
        </is>
      </c>
      <c r="C468" t="n">
        <v>2000</v>
      </c>
      <c r="D468" t="inlineStr">
        <is>
          <t>Debit</t>
        </is>
      </c>
      <c r="E468" t="inlineStr">
        <is>
          <t>Tools</t>
        </is>
      </c>
      <c r="F468">
        <f>IF(E468="Income","Revenue",IF(OR(E468="Materials",E468="Labor",E468="Dump Fees"),"COGS",IF(OR(E468="Fuel",E468="Insurance",E468="Tools",E468="Repairs"),"Expense","Non-Deductible")))</f>
        <v/>
      </c>
      <c r="G468" t="inlineStr">
        <is>
          <t>Expense</t>
        </is>
      </c>
      <c r="H468">
        <f>IF(G468&lt;&gt;F468,"YES","NO")</f>
        <v/>
      </c>
      <c r="I468" t="inlineStr"/>
      <c r="J468" t="inlineStr"/>
    </row>
    <row r="469">
      <c r="A469" s="5" t="n">
        <v>45933</v>
      </c>
      <c r="B469" t="inlineStr">
        <is>
          <t>Other Withdrawals - Electronic Withdrawal To MERCURY CARD FBT</t>
        </is>
      </c>
      <c r="C469" t="n">
        <v>1253.17</v>
      </c>
      <c r="D469" t="inlineStr">
        <is>
          <t>Debit</t>
        </is>
      </c>
      <c r="E469" t="inlineStr">
        <is>
          <t>Tools</t>
        </is>
      </c>
      <c r="F469">
        <f>IF(E469="Income","Revenue",IF(OR(E469="Materials",E469="Labor",E469="Dump Fees"),"COGS",IF(OR(E469="Fuel",E469="Insurance",E469="Tools",E469="Repairs"),"Expense","Non-Deductible")))</f>
        <v/>
      </c>
      <c r="G469" t="inlineStr">
        <is>
          <t>Expense</t>
        </is>
      </c>
      <c r="H469">
        <f>IF(G469&lt;&gt;F469,"YES","NO")</f>
        <v/>
      </c>
      <c r="I469" t="inlineStr"/>
      <c r="J469" t="inlineStr"/>
    </row>
    <row r="470">
      <c r="A470" s="5" t="n">
        <v>45933</v>
      </c>
      <c r="B470" t="inlineStr">
        <is>
          <t>Other Withdrawals - Zelle Instant PMT To Brian Davis</t>
        </is>
      </c>
      <c r="C470" t="n">
        <v>1050</v>
      </c>
      <c r="D470" t="inlineStr">
        <is>
          <t>Debit</t>
        </is>
      </c>
      <c r="E470" t="inlineStr">
        <is>
          <t>Labor</t>
        </is>
      </c>
      <c r="F470">
        <f>IF(E470="Income","Revenue",IF(OR(E470="Materials",E470="Labor",E470="Dump Fees"),"COGS",IF(OR(E470="Fuel",E470="Insurance",E470="Tools",E470="Repairs"),"Expense","Non-Deductible")))</f>
        <v/>
      </c>
      <c r="G470" t="inlineStr">
        <is>
          <t>COGS</t>
        </is>
      </c>
      <c r="H470">
        <f>IF(G470&lt;&gt;F470,"YES","NO")</f>
        <v/>
      </c>
      <c r="I470" t="inlineStr"/>
      <c r="J470" t="inlineStr">
        <is>
          <t>Bryan</t>
        </is>
      </c>
    </row>
    <row r="471">
      <c r="A471" s="5" t="n">
        <v>45933</v>
      </c>
      <c r="B471" t="inlineStr">
        <is>
          <t>Other Withdrawals - Zelle Instant PMT To Casey Williamson</t>
        </is>
      </c>
      <c r="C471" t="n">
        <v>400</v>
      </c>
      <c r="D471" t="inlineStr">
        <is>
          <t>Debit</t>
        </is>
      </c>
      <c r="E471" t="inlineStr">
        <is>
          <t>Labor</t>
        </is>
      </c>
      <c r="F471">
        <f>IF(E471="Income","Revenue",IF(OR(E471="Materials",E471="Labor",E471="Dump Fees"),"COGS",IF(OR(E471="Fuel",E471="Insurance",E471="Tools",E471="Repairs"),"Expense","Non-Deductible")))</f>
        <v/>
      </c>
      <c r="G471" t="inlineStr">
        <is>
          <t>COGS</t>
        </is>
      </c>
      <c r="H471">
        <f>IF(G471&lt;&gt;F471,"YES","NO")</f>
        <v/>
      </c>
      <c r="I471" t="inlineStr"/>
      <c r="J471" t="inlineStr">
        <is>
          <t>Casey</t>
        </is>
      </c>
    </row>
    <row r="472">
      <c r="A472" s="5" t="n">
        <v>45936</v>
      </c>
      <c r="B472" t="inlineStr">
        <is>
          <t>Card Withdrawals - Debit Purchase - VISA On 100325 COLLINSVILLE IL 7501435857</t>
        </is>
      </c>
      <c r="C472" t="n">
        <v>242.02</v>
      </c>
      <c r="D472" t="inlineStr">
        <is>
          <t>Debit</t>
        </is>
      </c>
      <c r="E472" t="inlineStr">
        <is>
          <t>Tools</t>
        </is>
      </c>
      <c r="F472">
        <f>IF(E472="Income","Revenue",IF(OR(E472="Materials",E472="Labor",E472="Dump Fees"),"COGS",IF(OR(E472="Fuel",E472="Insurance",E472="Tools",E472="Repairs"),"Expense","Non-Deductible")))</f>
        <v/>
      </c>
      <c r="G472" t="inlineStr">
        <is>
          <t>Expense</t>
        </is>
      </c>
      <c r="H472">
        <f>IF(G472&lt;&gt;F472,"YES","NO")</f>
        <v/>
      </c>
      <c r="I472" t="inlineStr"/>
      <c r="J472" t="inlineStr"/>
    </row>
    <row r="473">
      <c r="A473" s="5" t="n">
        <v>45936</v>
      </c>
      <c r="B473" t="inlineStr">
        <is>
          <t>Other Withdrawals - Electronic Withdrawal To CEFCU TEL DEBIT</t>
        </is>
      </c>
      <c r="C473" t="n">
        <v>1042.46</v>
      </c>
      <c r="D473" t="inlineStr">
        <is>
          <t>Debit</t>
        </is>
      </c>
      <c r="E473" t="inlineStr">
        <is>
          <t>Tools</t>
        </is>
      </c>
      <c r="F473">
        <f>IF(E473="Income","Revenue",IF(OR(E473="Materials",E473="Labor",E473="Dump Fees"),"COGS",IF(OR(E473="Fuel",E473="Insurance",E473="Tools",E473="Repairs"),"Expense","Non-Deductible")))</f>
        <v/>
      </c>
      <c r="G473" t="inlineStr">
        <is>
          <t>Expense</t>
        </is>
      </c>
      <c r="H473">
        <f>IF(G473&lt;&gt;F473,"YES","NO")</f>
        <v/>
      </c>
      <c r="I473" t="inlineStr"/>
      <c r="J473" t="inlineStr"/>
    </row>
    <row r="474">
      <c r="A474" s="5" t="n">
        <v>45937</v>
      </c>
      <c r="B474" t="inlineStr">
        <is>
          <t>Other Withdrawals - Mobile Banking Transfer To Account 152316874980</t>
        </is>
      </c>
      <c r="C474" t="n">
        <v>25</v>
      </c>
      <c r="D474" t="inlineStr">
        <is>
          <t>Debit</t>
        </is>
      </c>
      <c r="E474" t="inlineStr">
        <is>
          <t>Transfer</t>
        </is>
      </c>
      <c r="F474">
        <f>IF(E474="Income","Revenue",IF(OR(E474="Materials",E474="Labor",E474="Dump Fees"),"COGS",IF(OR(E474="Fuel",E474="Insurance",E474="Tools",E474="Repairs"),"Expense","Non-Deductible")))</f>
        <v/>
      </c>
      <c r="G474" t="inlineStr">
        <is>
          <t>Non-Deductible</t>
        </is>
      </c>
      <c r="H474">
        <f>IF(G474&lt;&gt;F474,"YES","NO")</f>
        <v/>
      </c>
      <c r="I474" t="inlineStr"/>
      <c r="J474" t="inlineStr"/>
    </row>
    <row r="475">
      <c r="A475" s="5" t="n">
        <v>45937</v>
      </c>
      <c r="B475" t="inlineStr">
        <is>
          <t>Other Withdrawals - Mobile Banking Transfer To Account 152316875235</t>
        </is>
      </c>
      <c r="C475" t="n">
        <v>250</v>
      </c>
      <c r="D475" t="inlineStr">
        <is>
          <t>Debit</t>
        </is>
      </c>
      <c r="E475" t="inlineStr">
        <is>
          <t>Transfer</t>
        </is>
      </c>
      <c r="F475">
        <f>IF(E475="Income","Revenue",IF(OR(E475="Materials",E475="Labor",E475="Dump Fees"),"COGS",IF(OR(E475="Fuel",E475="Insurance",E475="Tools",E475="Repairs"),"Expense","Non-Deductible")))</f>
        <v/>
      </c>
      <c r="G475" t="inlineStr">
        <is>
          <t>Non-Deductible</t>
        </is>
      </c>
      <c r="H475">
        <f>IF(G475&lt;&gt;F475,"YES","NO")</f>
        <v/>
      </c>
      <c r="I475" t="inlineStr"/>
      <c r="J475" t="inlineStr"/>
    </row>
    <row r="476">
      <c r="A476" s="5" t="n">
        <v>45938</v>
      </c>
      <c r="B476" t="inlineStr">
        <is>
          <t>Other Withdrawals - Zelle Instant PMT To Tabitha Session</t>
        </is>
      </c>
      <c r="C476" t="n">
        <v>240</v>
      </c>
      <c r="D476" t="inlineStr">
        <is>
          <t>Debit</t>
        </is>
      </c>
      <c r="E476" t="inlineStr">
        <is>
          <t>Tools</t>
        </is>
      </c>
      <c r="F476">
        <f>IF(E476="Income","Revenue",IF(OR(E476="Materials",E476="Labor",E476="Dump Fees"),"COGS",IF(OR(E476="Fuel",E476="Insurance",E476="Tools",E476="Repairs"),"Expense","Non-Deductible")))</f>
        <v/>
      </c>
      <c r="G476" t="inlineStr">
        <is>
          <t>Expense</t>
        </is>
      </c>
      <c r="H476">
        <f>IF(G476&lt;&gt;F476,"YES","NO")</f>
        <v/>
      </c>
      <c r="I476" t="inlineStr"/>
      <c r="J476" t="inlineStr"/>
    </row>
    <row r="477">
      <c r="A477" s="5" t="n">
        <v>45940</v>
      </c>
      <c r="B477" t="inlineStr">
        <is>
          <t>Other Withdrawals - Mobile Banking Transfer To Account 152316875235</t>
        </is>
      </c>
      <c r="C477" t="n">
        <v>400</v>
      </c>
      <c r="D477" t="inlineStr">
        <is>
          <t>Debit</t>
        </is>
      </c>
      <c r="E477" t="inlineStr">
        <is>
          <t>Transfer</t>
        </is>
      </c>
      <c r="F477">
        <f>IF(E477="Income","Revenue",IF(OR(E477="Materials",E477="Labor",E477="Dump Fees"),"COGS",IF(OR(E477="Fuel",E477="Insurance",E477="Tools",E477="Repairs"),"Expense","Non-Deductible")))</f>
        <v/>
      </c>
      <c r="G477" t="inlineStr">
        <is>
          <t>Non-Deductible</t>
        </is>
      </c>
      <c r="H477">
        <f>IF(G477&lt;&gt;F477,"YES","NO")</f>
        <v/>
      </c>
      <c r="I477" t="inlineStr"/>
      <c r="J477" t="inlineStr"/>
    </row>
    <row r="478">
      <c r="A478" s="5" t="n">
        <v>45940</v>
      </c>
      <c r="B478" t="inlineStr">
        <is>
          <t>Other Withdrawals - Zelle Instant PMT To Brian Davis</t>
        </is>
      </c>
      <c r="C478" t="n">
        <v>1050</v>
      </c>
      <c r="D478" t="inlineStr">
        <is>
          <t>Debit</t>
        </is>
      </c>
      <c r="E478" t="inlineStr">
        <is>
          <t>Labor</t>
        </is>
      </c>
      <c r="F478">
        <f>IF(E478="Income","Revenue",IF(OR(E478="Materials",E478="Labor",E478="Dump Fees"),"COGS",IF(OR(E478="Fuel",E478="Insurance",E478="Tools",E478="Repairs"),"Expense","Non-Deductible")))</f>
        <v/>
      </c>
      <c r="G478" t="inlineStr">
        <is>
          <t>COGS</t>
        </is>
      </c>
      <c r="H478">
        <f>IF(G478&lt;&gt;F478,"YES","NO")</f>
        <v/>
      </c>
      <c r="I478" t="inlineStr"/>
      <c r="J478" t="inlineStr">
        <is>
          <t>Bryan</t>
        </is>
      </c>
    </row>
    <row r="479">
      <c r="A479" s="5" t="n">
        <v>45940</v>
      </c>
      <c r="B479" t="inlineStr">
        <is>
          <t>Other Withdrawals - Zelle Instant PMT To Casey Williamson</t>
        </is>
      </c>
      <c r="C479" t="n">
        <v>260</v>
      </c>
      <c r="D479" t="inlineStr">
        <is>
          <t>Debit</t>
        </is>
      </c>
      <c r="E479" t="inlineStr">
        <is>
          <t>Labor</t>
        </is>
      </c>
      <c r="F479">
        <f>IF(E479="Income","Revenue",IF(OR(E479="Materials",E479="Labor",E479="Dump Fees"),"COGS",IF(OR(E479="Fuel",E479="Insurance",E479="Tools",E479="Repairs"),"Expense","Non-Deductible")))</f>
        <v/>
      </c>
      <c r="G479" t="inlineStr">
        <is>
          <t>COGS</t>
        </is>
      </c>
      <c r="H479">
        <f>IF(G479&lt;&gt;F479,"YES","NO")</f>
        <v/>
      </c>
      <c r="I479" t="inlineStr"/>
      <c r="J479" t="inlineStr">
        <is>
          <t>Casey</t>
        </is>
      </c>
    </row>
    <row r="480">
      <c r="A480" s="5" t="n">
        <v>45944</v>
      </c>
      <c r="B480" t="inlineStr">
        <is>
          <t>Card Withdrawals - Debit Purchase - VISA On 101125 SAINT LOUIS MO 5018029259</t>
        </is>
      </c>
      <c r="C480" t="n">
        <v>251.45</v>
      </c>
      <c r="D480" t="inlineStr">
        <is>
          <t>Debit</t>
        </is>
      </c>
      <c r="E480" t="inlineStr">
        <is>
          <t>Tools</t>
        </is>
      </c>
      <c r="F480">
        <f>IF(E480="Income","Revenue",IF(OR(E480="Materials",E480="Labor",E480="Dump Fees"),"COGS",IF(OR(E480="Fuel",E480="Insurance",E480="Tools",E480="Repairs"),"Expense","Non-Deductible")))</f>
        <v/>
      </c>
      <c r="G480" t="inlineStr">
        <is>
          <t>Expense</t>
        </is>
      </c>
      <c r="H480">
        <f>IF(G480&lt;&gt;F480,"YES","NO")</f>
        <v/>
      </c>
      <c r="I480" t="inlineStr"/>
      <c r="J480" t="inlineStr"/>
    </row>
    <row r="481">
      <c r="A481" s="5" t="n">
        <v>45944</v>
      </c>
      <c r="B481" t="inlineStr">
        <is>
          <t>Card Withdrawals - Debit Purchase - VISA On 101225 FREEBURG IL 6500855478</t>
        </is>
      </c>
      <c r="C481" t="n">
        <v>16</v>
      </c>
      <c r="D481" t="inlineStr">
        <is>
          <t>Debit</t>
        </is>
      </c>
      <c r="E481" t="inlineStr">
        <is>
          <t>Tools</t>
        </is>
      </c>
      <c r="F481">
        <f>IF(E481="Income","Revenue",IF(OR(E481="Materials",E481="Labor",E481="Dump Fees"),"COGS",IF(OR(E481="Fuel",E481="Insurance",E481="Tools",E481="Repairs"),"Expense","Non-Deductible")))</f>
        <v/>
      </c>
      <c r="G481" t="inlineStr">
        <is>
          <t>Expense</t>
        </is>
      </c>
      <c r="H481">
        <f>IF(G481&lt;&gt;F481,"YES","NO")</f>
        <v/>
      </c>
      <c r="I481" t="inlineStr"/>
      <c r="J481" t="inlineStr"/>
    </row>
    <row r="482">
      <c r="A482" s="5" t="n">
        <v>45944</v>
      </c>
      <c r="B482" t="inlineStr">
        <is>
          <t>Card Withdrawals - Debit Purchase - VISA On 101225 SAINT LOUIS MO 5100438721</t>
        </is>
      </c>
      <c r="C482" t="n">
        <v>78.01000000000001</v>
      </c>
      <c r="D482" t="inlineStr">
        <is>
          <t>Debit</t>
        </is>
      </c>
      <c r="E482" t="inlineStr">
        <is>
          <t>Tools</t>
        </is>
      </c>
      <c r="F482">
        <f>IF(E482="Income","Revenue",IF(OR(E482="Materials",E482="Labor",E482="Dump Fees"),"COGS",IF(OR(E482="Fuel",E482="Insurance",E482="Tools",E482="Repairs"),"Expense","Non-Deductible")))</f>
        <v/>
      </c>
      <c r="G482" t="inlineStr">
        <is>
          <t>Expense</t>
        </is>
      </c>
      <c r="H482">
        <f>IF(G482&lt;&gt;F482,"YES","NO")</f>
        <v/>
      </c>
      <c r="I482" t="inlineStr"/>
      <c r="J482" t="inlineStr"/>
    </row>
    <row r="483">
      <c r="A483" s="5" t="n">
        <v>45944</v>
      </c>
      <c r="B483" t="inlineStr">
        <is>
          <t>Card Withdrawals - Debit Purchase MILLSTADT IGA MILLSTADT IL 6610141554</t>
        </is>
      </c>
      <c r="C483" t="n">
        <v>262.38</v>
      </c>
      <c r="D483" t="inlineStr">
        <is>
          <t>Debit</t>
        </is>
      </c>
      <c r="E483" t="inlineStr">
        <is>
          <t>Tools</t>
        </is>
      </c>
      <c r="F483">
        <f>IF(E483="Income","Revenue",IF(OR(E483="Materials",E483="Labor",E483="Dump Fees"),"COGS",IF(OR(E483="Fuel",E483="Insurance",E483="Tools",E483="Repairs"),"Expense","Non-Deductible")))</f>
        <v/>
      </c>
      <c r="G483" t="inlineStr">
        <is>
          <t>Expense</t>
        </is>
      </c>
      <c r="H483">
        <f>IF(G483&lt;&gt;F483,"YES","NO")</f>
        <v/>
      </c>
      <c r="I483" t="inlineStr"/>
      <c r="J483" t="inlineStr"/>
    </row>
    <row r="484">
      <c r="A484" s="5" t="n">
        <v>45944</v>
      </c>
      <c r="B484" t="inlineStr">
        <is>
          <t>Other Withdrawals - Electronic Withdrawal To BEST BUY</t>
        </is>
      </c>
      <c r="C484" t="n">
        <v>200</v>
      </c>
      <c r="D484" t="inlineStr">
        <is>
          <t>Debit</t>
        </is>
      </c>
      <c r="E484" t="inlineStr">
        <is>
          <t>Tools</t>
        </is>
      </c>
      <c r="F484">
        <f>IF(E484="Income","Revenue",IF(OR(E484="Materials",E484="Labor",E484="Dump Fees"),"COGS",IF(OR(E484="Fuel",E484="Insurance",E484="Tools",E484="Repairs"),"Expense","Non-Deductible")))</f>
        <v/>
      </c>
      <c r="G484" t="inlineStr">
        <is>
          <t>Expense</t>
        </is>
      </c>
      <c r="H484">
        <f>IF(G484&lt;&gt;F484,"YES","NO")</f>
        <v/>
      </c>
      <c r="I484" t="inlineStr"/>
      <c r="J484" t="inlineStr"/>
    </row>
    <row r="485">
      <c r="A485" s="5" t="n">
        <v>45944</v>
      </c>
      <c r="B485" t="inlineStr">
        <is>
          <t>Other Withdrawals - Mobile Banking Transfer To Account 152316875235</t>
        </is>
      </c>
      <c r="C485" t="n">
        <v>200</v>
      </c>
      <c r="D485" t="inlineStr">
        <is>
          <t>Debit</t>
        </is>
      </c>
      <c r="E485" t="inlineStr">
        <is>
          <t>Transfer</t>
        </is>
      </c>
      <c r="F485">
        <f>IF(E485="Income","Revenue",IF(OR(E485="Materials",E485="Labor",E485="Dump Fees"),"COGS",IF(OR(E485="Fuel",E485="Insurance",E485="Tools",E485="Repairs"),"Expense","Non-Deductible")))</f>
        <v/>
      </c>
      <c r="G485" t="inlineStr">
        <is>
          <t>Non-Deductible</t>
        </is>
      </c>
      <c r="H485">
        <f>IF(G485&lt;&gt;F485,"YES","NO")</f>
        <v/>
      </c>
      <c r="I485" t="inlineStr"/>
      <c r="J485" t="inlineStr"/>
    </row>
    <row r="486">
      <c r="A486" s="5" t="n">
        <v>45944</v>
      </c>
      <c r="B486" t="inlineStr">
        <is>
          <t>Other Withdrawals - Mobile Banking Transfer To Account 152316875235</t>
        </is>
      </c>
      <c r="C486" t="n">
        <v>300</v>
      </c>
      <c r="D486" t="inlineStr">
        <is>
          <t>Debit</t>
        </is>
      </c>
      <c r="E486" t="inlineStr">
        <is>
          <t>Transfer</t>
        </is>
      </c>
      <c r="F486">
        <f>IF(E486="Income","Revenue",IF(OR(E486="Materials",E486="Labor",E486="Dump Fees"),"COGS",IF(OR(E486="Fuel",E486="Insurance",E486="Tools",E486="Repairs"),"Expense","Non-Deductible")))</f>
        <v/>
      </c>
      <c r="G486" t="inlineStr">
        <is>
          <t>Non-Deductible</t>
        </is>
      </c>
      <c r="H486">
        <f>IF(G486&lt;&gt;F486,"YES","NO")</f>
        <v/>
      </c>
      <c r="I486" t="inlineStr"/>
      <c r="J486" t="inlineStr"/>
    </row>
    <row r="487">
      <c r="A487" s="5" t="n">
        <v>45944</v>
      </c>
      <c r="B487" t="inlineStr">
        <is>
          <t>Other Withdrawals - Mobile Banking Transfer To Account 152316875235</t>
        </is>
      </c>
      <c r="C487" t="n">
        <v>325</v>
      </c>
      <c r="D487" t="inlineStr">
        <is>
          <t>Debit</t>
        </is>
      </c>
      <c r="E487" t="inlineStr">
        <is>
          <t>Transfer</t>
        </is>
      </c>
      <c r="F487">
        <f>IF(E487="Income","Revenue",IF(OR(E487="Materials",E487="Labor",E487="Dump Fees"),"COGS",IF(OR(E487="Fuel",E487="Insurance",E487="Tools",E487="Repairs"),"Expense","Non-Deductible")))</f>
        <v/>
      </c>
      <c r="G487" t="inlineStr">
        <is>
          <t>Non-Deductible</t>
        </is>
      </c>
      <c r="H487">
        <f>IF(G487&lt;&gt;F487,"YES","NO")</f>
        <v/>
      </c>
      <c r="I487" t="inlineStr"/>
      <c r="J487" t="inlineStr"/>
    </row>
    <row r="488">
      <c r="A488" s="5" t="n">
        <v>45945</v>
      </c>
      <c r="B488" t="inlineStr">
        <is>
          <t>Card Withdrawals - Debit Purchase - VISA On 101425 NEW ATHENS IL 8514912504</t>
        </is>
      </c>
      <c r="C488" t="n">
        <v>214</v>
      </c>
      <c r="D488" t="inlineStr">
        <is>
          <t>Debit</t>
        </is>
      </c>
      <c r="E488" t="inlineStr">
        <is>
          <t>Tools</t>
        </is>
      </c>
      <c r="F488">
        <f>IF(E488="Income","Revenue",IF(OR(E488="Materials",E488="Labor",E488="Dump Fees"),"COGS",IF(OR(E488="Fuel",E488="Insurance",E488="Tools",E488="Repairs"),"Expense","Non-Deductible")))</f>
        <v/>
      </c>
      <c r="G488" t="inlineStr">
        <is>
          <t>Expense</t>
        </is>
      </c>
      <c r="H488">
        <f>IF(G488&lt;&gt;F488,"YES","NO")</f>
        <v/>
      </c>
      <c r="I488" t="inlineStr"/>
      <c r="J488" t="inlineStr"/>
    </row>
    <row r="489">
      <c r="A489" s="5" t="n">
        <v>45945</v>
      </c>
      <c r="B489" t="inlineStr">
        <is>
          <t>Card Withdrawals - Debit Purchase DOLLAR GENERAL # NEW ATHENS IL 0810151213</t>
        </is>
      </c>
      <c r="C489" t="n">
        <v>36.86</v>
      </c>
      <c r="D489" t="inlineStr">
        <is>
          <t>Debit</t>
        </is>
      </c>
      <c r="E489" t="inlineStr">
        <is>
          <t>Tools</t>
        </is>
      </c>
      <c r="F489">
        <f>IF(E489="Income","Revenue",IF(OR(E489="Materials",E489="Labor",E489="Dump Fees"),"COGS",IF(OR(E489="Fuel",E489="Insurance",E489="Tools",E489="Repairs"),"Expense","Non-Deductible")))</f>
        <v/>
      </c>
      <c r="G489" t="inlineStr">
        <is>
          <t>Expense</t>
        </is>
      </c>
      <c r="H489">
        <f>IF(G489&lt;&gt;F489,"YES","NO")</f>
        <v/>
      </c>
      <c r="I489" t="inlineStr"/>
      <c r="J489" t="inlineStr"/>
    </row>
    <row r="490">
      <c r="A490" s="5" t="n">
        <v>45946</v>
      </c>
      <c r="B490" t="inlineStr">
        <is>
          <t>Other Deposits - Mobile Check Deposit 8950419224</t>
        </is>
      </c>
      <c r="C490" t="n">
        <v>9275</v>
      </c>
      <c r="D490" t="inlineStr">
        <is>
          <t>Credit</t>
        </is>
      </c>
      <c r="E490" t="inlineStr">
        <is>
          <t>Income</t>
        </is>
      </c>
      <c r="F490">
        <f>IF(E490="Income","Revenue",IF(OR(E490="Materials",E490="Labor",E490="Dump Fees"),"COGS",IF(OR(E490="Fuel",E490="Insurance",E490="Tools",E490="Repairs"),"Expense","Non-Deductible")))</f>
        <v/>
      </c>
      <c r="G490" t="inlineStr">
        <is>
          <t>Revenue</t>
        </is>
      </c>
      <c r="H490">
        <f>IF(G490&lt;&gt;F490,"YES","NO")</f>
        <v/>
      </c>
      <c r="I490" t="inlineStr"/>
      <c r="J490" t="inlineStr"/>
    </row>
    <row r="491">
      <c r="A491" s="5" t="n">
        <v>45947</v>
      </c>
      <c r="B491" t="inlineStr">
        <is>
          <t>Card Withdrawals - Debit Purchase CIRCLE K # 01461 BELLEVILLE IL</t>
        </is>
      </c>
      <c r="C491" t="n">
        <v>51.24</v>
      </c>
      <c r="D491" t="inlineStr">
        <is>
          <t>Debit</t>
        </is>
      </c>
      <c r="E491" t="inlineStr">
        <is>
          <t>Tools</t>
        </is>
      </c>
      <c r="F491">
        <f>IF(E491="Income","Revenue",IF(OR(E491="Materials",E491="Labor",E491="Dump Fees"),"COGS",IF(OR(E491="Fuel",E491="Insurance",E491="Tools",E491="Repairs"),"Expense","Non-Deductible")))</f>
        <v/>
      </c>
      <c r="G491" t="inlineStr">
        <is>
          <t>Expense</t>
        </is>
      </c>
      <c r="H491">
        <f>IF(G491&lt;&gt;F491,"YES","NO")</f>
        <v/>
      </c>
      <c r="I491" t="inlineStr"/>
      <c r="J491" t="inlineStr"/>
    </row>
    <row r="492">
      <c r="A492" s="5" t="n">
        <v>45947</v>
      </c>
      <c r="B492" t="inlineStr">
        <is>
          <t>Card Withdrawals - Debit Purchase CIRCLE K # 01461 BELLEVILLE IL</t>
        </is>
      </c>
      <c r="C492" t="n">
        <v>91.47</v>
      </c>
      <c r="D492" t="inlineStr">
        <is>
          <t>Debit</t>
        </is>
      </c>
      <c r="E492" t="inlineStr">
        <is>
          <t>Tools</t>
        </is>
      </c>
      <c r="F492">
        <f>IF(E492="Income","Revenue",IF(OR(E492="Materials",E492="Labor",E492="Dump Fees"),"COGS",IF(OR(E492="Fuel",E492="Insurance",E492="Tools",E492="Repairs"),"Expense","Non-Deductible")))</f>
        <v/>
      </c>
      <c r="G492" t="inlineStr">
        <is>
          <t>Expense</t>
        </is>
      </c>
      <c r="H492">
        <f>IF(G492&lt;&gt;F492,"YES","NO")</f>
        <v/>
      </c>
      <c r="I492" t="inlineStr"/>
      <c r="J492" t="inlineStr"/>
    </row>
    <row r="493">
      <c r="A493" s="5" t="n">
        <v>45947</v>
      </c>
      <c r="B493" t="inlineStr">
        <is>
          <t>Other Withdrawals - Mobile Banking Payment To Credit Card *************3424</t>
        </is>
      </c>
      <c r="C493" t="n">
        <v>600</v>
      </c>
      <c r="D493" t="inlineStr">
        <is>
          <t>Debit</t>
        </is>
      </c>
      <c r="E493" t="inlineStr">
        <is>
          <t>Fuel</t>
        </is>
      </c>
      <c r="F493">
        <f>IF(E493="Income","Revenue",IF(OR(E493="Materials",E493="Labor",E493="Dump Fees"),"COGS",IF(OR(E493="Fuel",E493="Insurance",E493="Tools",E493="Repairs"),"Expense","Non-Deductible")))</f>
        <v/>
      </c>
      <c r="G493" t="inlineStr">
        <is>
          <t>Expense</t>
        </is>
      </c>
      <c r="H493">
        <f>IF(G493&lt;&gt;F493,"YES","NO")</f>
        <v/>
      </c>
      <c r="I493" t="inlineStr"/>
      <c r="J493" t="inlineStr"/>
    </row>
    <row r="494">
      <c r="A494" s="5" t="n">
        <v>45947</v>
      </c>
      <c r="B494" t="inlineStr">
        <is>
          <t>Other Withdrawals - Mobile Banking Payment To Credit Card *************6452</t>
        </is>
      </c>
      <c r="C494" t="n">
        <v>1374.46</v>
      </c>
      <c r="D494" t="inlineStr">
        <is>
          <t>Debit</t>
        </is>
      </c>
      <c r="E494" t="inlineStr">
        <is>
          <t>Fuel</t>
        </is>
      </c>
      <c r="F494">
        <f>IF(E494="Income","Revenue",IF(OR(E494="Materials",E494="Labor",E494="Dump Fees"),"COGS",IF(OR(E494="Fuel",E494="Insurance",E494="Tools",E494="Repairs"),"Expense","Non-Deductible")))</f>
        <v/>
      </c>
      <c r="G494" t="inlineStr">
        <is>
          <t>Expense</t>
        </is>
      </c>
      <c r="H494">
        <f>IF(G494&lt;&gt;F494,"YES","NO")</f>
        <v/>
      </c>
      <c r="I494" t="inlineStr"/>
      <c r="J494" t="inlineStr"/>
    </row>
    <row r="495">
      <c r="A495" s="5" t="n">
        <v>45947</v>
      </c>
      <c r="B495" t="inlineStr">
        <is>
          <t>Other Withdrawals - Mobile Banking Payment To Credit Card *************9563</t>
        </is>
      </c>
      <c r="C495" t="n">
        <v>484.89</v>
      </c>
      <c r="D495" t="inlineStr">
        <is>
          <t>Debit</t>
        </is>
      </c>
      <c r="E495" t="inlineStr">
        <is>
          <t>Fuel</t>
        </is>
      </c>
      <c r="F495">
        <f>IF(E495="Income","Revenue",IF(OR(E495="Materials",E495="Labor",E495="Dump Fees"),"COGS",IF(OR(E495="Fuel",E495="Insurance",E495="Tools",E495="Repairs"),"Expense","Non-Deductible")))</f>
        <v/>
      </c>
      <c r="G495" t="inlineStr">
        <is>
          <t>Expense</t>
        </is>
      </c>
      <c r="H495">
        <f>IF(G495&lt;&gt;F495,"YES","NO")</f>
        <v/>
      </c>
      <c r="I495" t="inlineStr"/>
      <c r="J495" t="inlineStr"/>
    </row>
    <row r="496">
      <c r="A496" s="5" t="n">
        <v>45947</v>
      </c>
      <c r="B496" t="inlineStr">
        <is>
          <t>Other Withdrawals - Mobile Banking Transfer To Account 152316875235</t>
        </is>
      </c>
      <c r="C496" t="n">
        <v>250</v>
      </c>
      <c r="D496" t="inlineStr">
        <is>
          <t>Debit</t>
        </is>
      </c>
      <c r="E496" t="inlineStr">
        <is>
          <t>Transfer</t>
        </is>
      </c>
      <c r="F496">
        <f>IF(E496="Income","Revenue",IF(OR(E496="Materials",E496="Labor",E496="Dump Fees"),"COGS",IF(OR(E496="Fuel",E496="Insurance",E496="Tools",E496="Repairs"),"Expense","Non-Deductible")))</f>
        <v/>
      </c>
      <c r="G496" t="inlineStr">
        <is>
          <t>Non-Deductible</t>
        </is>
      </c>
      <c r="H496">
        <f>IF(G496&lt;&gt;F496,"YES","NO")</f>
        <v/>
      </c>
      <c r="I496" t="inlineStr"/>
      <c r="J496" t="inlineStr"/>
    </row>
    <row r="497">
      <c r="A497" s="5" t="n">
        <v>45947</v>
      </c>
      <c r="B497" t="inlineStr">
        <is>
          <t>Other Withdrawals - Mobile Banking Transfer To Account 152316875235</t>
        </is>
      </c>
      <c r="C497" t="n">
        <v>650</v>
      </c>
      <c r="D497" t="inlineStr">
        <is>
          <t>Debit</t>
        </is>
      </c>
      <c r="E497" t="inlineStr">
        <is>
          <t>Transfer</t>
        </is>
      </c>
      <c r="F497">
        <f>IF(E497="Income","Revenue",IF(OR(E497="Materials",E497="Labor",E497="Dump Fees"),"COGS",IF(OR(E497="Fuel",E497="Insurance",E497="Tools",E497="Repairs"),"Expense","Non-Deductible")))</f>
        <v/>
      </c>
      <c r="G497" t="inlineStr">
        <is>
          <t>Non-Deductible</t>
        </is>
      </c>
      <c r="H497">
        <f>IF(G497&lt;&gt;F497,"YES","NO")</f>
        <v/>
      </c>
      <c r="I497" t="inlineStr"/>
      <c r="J497" t="inlineStr"/>
    </row>
    <row r="498">
      <c r="A498" s="5" t="n">
        <v>45947</v>
      </c>
      <c r="B498" t="inlineStr">
        <is>
          <t>Other Withdrawals - Zelle Instant PMT To Brian Davis</t>
        </is>
      </c>
      <c r="C498" t="n">
        <v>1400</v>
      </c>
      <c r="D498" t="inlineStr">
        <is>
          <t>Debit</t>
        </is>
      </c>
      <c r="E498" t="inlineStr">
        <is>
          <t>Labor</t>
        </is>
      </c>
      <c r="F498">
        <f>IF(E498="Income","Revenue",IF(OR(E498="Materials",E498="Labor",E498="Dump Fees"),"COGS",IF(OR(E498="Fuel",E498="Insurance",E498="Tools",E498="Repairs"),"Expense","Non-Deductible")))</f>
        <v/>
      </c>
      <c r="G498" t="inlineStr">
        <is>
          <t>COGS</t>
        </is>
      </c>
      <c r="H498">
        <f>IF(G498&lt;&gt;F498,"YES","NO")</f>
        <v/>
      </c>
      <c r="I498" t="inlineStr"/>
      <c r="J498" t="inlineStr">
        <is>
          <t>Bryan</t>
        </is>
      </c>
    </row>
    <row r="499">
      <c r="A499" s="5" t="n">
        <v>45947</v>
      </c>
      <c r="B499" t="inlineStr">
        <is>
          <t>Other Withdrawals - Zelle Instant PMT To Casey Williamson</t>
        </is>
      </c>
      <c r="C499" t="n">
        <v>1079</v>
      </c>
      <c r="D499" t="inlineStr">
        <is>
          <t>Debit</t>
        </is>
      </c>
      <c r="E499" t="inlineStr">
        <is>
          <t>Labor</t>
        </is>
      </c>
      <c r="F499">
        <f>IF(E499="Income","Revenue",IF(OR(E499="Materials",E499="Labor",E499="Dump Fees"),"COGS",IF(OR(E499="Fuel",E499="Insurance",E499="Tools",E499="Repairs"),"Expense","Non-Deductible")))</f>
        <v/>
      </c>
      <c r="G499" t="inlineStr">
        <is>
          <t>COGS</t>
        </is>
      </c>
      <c r="H499">
        <f>IF(G499&lt;&gt;F499,"YES","NO")</f>
        <v/>
      </c>
      <c r="I499" t="inlineStr"/>
      <c r="J499" t="inlineStr">
        <is>
          <t>Casey</t>
        </is>
      </c>
    </row>
    <row r="500">
      <c r="A500" s="5" t="n">
        <v>45950</v>
      </c>
      <c r="B500" t="inlineStr">
        <is>
          <t>Card Withdrawals - Debit Purchase - VISA On 101625 SAINT LOUIS MO 0003558208</t>
        </is>
      </c>
      <c r="C500" t="n">
        <v>35.54</v>
      </c>
      <c r="D500" t="inlineStr">
        <is>
          <t>Debit</t>
        </is>
      </c>
      <c r="E500" t="inlineStr">
        <is>
          <t>Tools</t>
        </is>
      </c>
      <c r="F500">
        <f>IF(E500="Income","Revenue",IF(OR(E500="Materials",E500="Labor",E500="Dump Fees"),"COGS",IF(OR(E500="Fuel",E500="Insurance",E500="Tools",E500="Repairs"),"Expense","Non-Deductible")))</f>
        <v/>
      </c>
      <c r="G500" t="inlineStr">
        <is>
          <t>Expense</t>
        </is>
      </c>
      <c r="H500">
        <f>IF(G500&lt;&gt;F500,"YES","NO")</f>
        <v/>
      </c>
      <c r="I500" t="inlineStr"/>
      <c r="J500" t="inlineStr"/>
    </row>
    <row r="501">
      <c r="A501" s="5" t="n">
        <v>45950</v>
      </c>
      <c r="B501" t="inlineStr">
        <is>
          <t>Card Withdrawals - Debit Purchase MNRD-OFALLON 117 O'FALLON IL 3410200843</t>
        </is>
      </c>
      <c r="C501" t="n">
        <v>1850.47</v>
      </c>
      <c r="D501" t="inlineStr">
        <is>
          <t>Debit</t>
        </is>
      </c>
      <c r="E501" t="inlineStr">
        <is>
          <t>Tools</t>
        </is>
      </c>
      <c r="F501">
        <f>IF(E501="Income","Revenue",IF(OR(E501="Materials",E501="Labor",E501="Dump Fees"),"COGS",IF(OR(E501="Fuel",E501="Insurance",E501="Tools",E501="Repairs"),"Expense","Non-Deductible")))</f>
        <v/>
      </c>
      <c r="G501" t="inlineStr">
        <is>
          <t>Expense</t>
        </is>
      </c>
      <c r="H501">
        <f>IF(G501&lt;&gt;F501,"YES","NO")</f>
        <v/>
      </c>
      <c r="I501" t="inlineStr"/>
      <c r="J501" t="inlineStr"/>
    </row>
    <row r="502">
      <c r="A502" s="5" t="n">
        <v>45950</v>
      </c>
      <c r="B502" t="inlineStr">
        <is>
          <t>Other Withdrawals - Electronic Withdrawal To MIDLAND MTG</t>
        </is>
      </c>
      <c r="C502" t="n">
        <v>964.5599999999999</v>
      </c>
      <c r="D502" t="inlineStr">
        <is>
          <t>Debit</t>
        </is>
      </c>
      <c r="E502" t="inlineStr">
        <is>
          <t>Tools</t>
        </is>
      </c>
      <c r="F502">
        <f>IF(E502="Income","Revenue",IF(OR(E502="Materials",E502="Labor",E502="Dump Fees"),"COGS",IF(OR(E502="Fuel",E502="Insurance",E502="Tools",E502="Repairs"),"Expense","Non-Deductible")))</f>
        <v/>
      </c>
      <c r="G502" t="inlineStr">
        <is>
          <t>Expense</t>
        </is>
      </c>
      <c r="H502">
        <f>IF(G502&lt;&gt;F502,"YES","NO")</f>
        <v/>
      </c>
      <c r="I502" t="inlineStr"/>
      <c r="J502" t="inlineStr"/>
    </row>
    <row r="503">
      <c r="A503" s="5" t="n">
        <v>45954</v>
      </c>
      <c r="B503" t="inlineStr">
        <is>
          <t>Card Withdrawals - Debit Purchase - VISA On 102225 FAIRVIEW HTS IL 6312628062</t>
        </is>
      </c>
      <c r="C503" t="n">
        <v>40.86</v>
      </c>
      <c r="D503" t="inlineStr">
        <is>
          <t>Debit</t>
        </is>
      </c>
      <c r="E503" t="inlineStr">
        <is>
          <t>Tools</t>
        </is>
      </c>
      <c r="F503">
        <f>IF(E503="Income","Revenue",IF(OR(E503="Materials",E503="Labor",E503="Dump Fees"),"COGS",IF(OR(E503="Fuel",E503="Insurance",E503="Tools",E503="Repairs"),"Expense","Non-Deductible")))</f>
        <v/>
      </c>
      <c r="G503" t="inlineStr">
        <is>
          <t>Expense</t>
        </is>
      </c>
      <c r="H503">
        <f>IF(G503&lt;&gt;F503,"YES","NO")</f>
        <v/>
      </c>
      <c r="I503" t="inlineStr"/>
      <c r="J503" t="inlineStr"/>
    </row>
    <row r="504">
      <c r="A504" s="5" t="n">
        <v>45954</v>
      </c>
      <c r="B504" t="inlineStr">
        <is>
          <t>Card Withdrawals - Debit Purchase - VISA On 102325 MASCOUTAH IL 7001045499</t>
        </is>
      </c>
      <c r="C504" t="n">
        <v>73.84</v>
      </c>
      <c r="D504" t="inlineStr">
        <is>
          <t>Debit</t>
        </is>
      </c>
      <c r="E504" t="inlineStr">
        <is>
          <t>Tools</t>
        </is>
      </c>
      <c r="F504">
        <f>IF(E504="Income","Revenue",IF(OR(E504="Materials",E504="Labor",E504="Dump Fees"),"COGS",IF(OR(E504="Fuel",E504="Insurance",E504="Tools",E504="Repairs"),"Expense","Non-Deductible")))</f>
        <v/>
      </c>
      <c r="G504" t="inlineStr">
        <is>
          <t>Expense</t>
        </is>
      </c>
      <c r="H504">
        <f>IF(G504&lt;&gt;F504,"YES","NO")</f>
        <v/>
      </c>
      <c r="I504" t="inlineStr"/>
      <c r="J504" t="inlineStr"/>
    </row>
    <row r="505">
      <c r="A505" s="5" t="n">
        <v>45954</v>
      </c>
      <c r="B505" t="inlineStr">
        <is>
          <t>Card Withdrawals - Debit Purchase verifyvend855-55 PROVIDENCE RI 3210241502</t>
        </is>
      </c>
      <c r="C505" t="n">
        <v>90.28</v>
      </c>
      <c r="D505" t="inlineStr">
        <is>
          <t>Debit</t>
        </is>
      </c>
      <c r="E505" t="inlineStr">
        <is>
          <t>Tools</t>
        </is>
      </c>
      <c r="F505">
        <f>IF(E505="Income","Revenue",IF(OR(E505="Materials",E505="Labor",E505="Dump Fees"),"COGS",IF(OR(E505="Fuel",E505="Insurance",E505="Tools",E505="Repairs"),"Expense","Non-Deductible")))</f>
        <v/>
      </c>
      <c r="G505" t="inlineStr">
        <is>
          <t>Expense</t>
        </is>
      </c>
      <c r="H505">
        <f>IF(G505&lt;&gt;F505,"YES","NO")</f>
        <v/>
      </c>
      <c r="I505" t="inlineStr"/>
      <c r="J505" t="inlineStr"/>
    </row>
    <row r="506">
      <c r="A506" s="5" t="n">
        <v>45954</v>
      </c>
      <c r="B506" t="inlineStr">
        <is>
          <t>Other Deposits - Mobile Check Deposit 9250095382</t>
        </is>
      </c>
      <c r="C506" t="n">
        <v>8683.82</v>
      </c>
      <c r="D506" t="inlineStr">
        <is>
          <t>Credit</t>
        </is>
      </c>
      <c r="E506" t="inlineStr">
        <is>
          <t>Income</t>
        </is>
      </c>
      <c r="F506">
        <f>IF(E506="Income","Revenue",IF(OR(E506="Materials",E506="Labor",E506="Dump Fees"),"COGS",IF(OR(E506="Fuel",E506="Insurance",E506="Tools",E506="Repairs"),"Expense","Non-Deductible")))</f>
        <v/>
      </c>
      <c r="G506" t="inlineStr">
        <is>
          <t>Revenue</t>
        </is>
      </c>
      <c r="H506">
        <f>IF(G506&lt;&gt;F506,"YES","NO")</f>
        <v/>
      </c>
      <c r="I506" t="inlineStr"/>
      <c r="J506" t="inlineStr"/>
    </row>
    <row r="507">
      <c r="A507" s="5" t="n">
        <v>45954</v>
      </c>
      <c r="B507" t="inlineStr">
        <is>
          <t>Other Withdrawals - Mobile Banking Transfer To Account 152316874980</t>
        </is>
      </c>
      <c r="C507" t="n">
        <v>1000</v>
      </c>
      <c r="D507" t="inlineStr">
        <is>
          <t>Debit</t>
        </is>
      </c>
      <c r="E507" t="inlineStr">
        <is>
          <t>Transfer</t>
        </is>
      </c>
      <c r="F507">
        <f>IF(E507="Income","Revenue",IF(OR(E507="Materials",E507="Labor",E507="Dump Fees"),"COGS",IF(OR(E507="Fuel",E507="Insurance",E507="Tools",E507="Repairs"),"Expense","Non-Deductible")))</f>
        <v/>
      </c>
      <c r="G507" t="inlineStr">
        <is>
          <t>Non-Deductible</t>
        </is>
      </c>
      <c r="H507">
        <f>IF(G507&lt;&gt;F507,"YES","NO")</f>
        <v/>
      </c>
      <c r="I507" t="inlineStr"/>
      <c r="J507" t="inlineStr"/>
    </row>
    <row r="508">
      <c r="A508" s="5" t="n">
        <v>45954</v>
      </c>
      <c r="B508" t="inlineStr">
        <is>
          <t>Other Withdrawals - Mobile Banking Transfer To Account 252310110470</t>
        </is>
      </c>
      <c r="C508" t="n">
        <v>33</v>
      </c>
      <c r="D508" t="inlineStr">
        <is>
          <t>Debit</t>
        </is>
      </c>
      <c r="E508" t="inlineStr">
        <is>
          <t>Transfer</t>
        </is>
      </c>
      <c r="F508">
        <f>IF(E508="Income","Revenue",IF(OR(E508="Materials",E508="Labor",E508="Dump Fees"),"COGS",IF(OR(E508="Fuel",E508="Insurance",E508="Tools",E508="Repairs"),"Expense","Non-Deductible")))</f>
        <v/>
      </c>
      <c r="G508" t="inlineStr">
        <is>
          <t>Non-Deductible</t>
        </is>
      </c>
      <c r="H508">
        <f>IF(G508&lt;&gt;F508,"YES","NO")</f>
        <v/>
      </c>
      <c r="I508" t="inlineStr"/>
      <c r="J508" t="inlineStr"/>
    </row>
    <row r="509">
      <c r="A509" s="5" t="n">
        <v>45954</v>
      </c>
      <c r="B509" t="inlineStr">
        <is>
          <t>Other Withdrawals - Zelle Instant PMT To Brian Davis</t>
        </is>
      </c>
      <c r="C509" t="n">
        <v>1400</v>
      </c>
      <c r="D509" t="inlineStr">
        <is>
          <t>Debit</t>
        </is>
      </c>
      <c r="E509" t="inlineStr">
        <is>
          <t>Labor</t>
        </is>
      </c>
      <c r="F509">
        <f>IF(E509="Income","Revenue",IF(OR(E509="Materials",E509="Labor",E509="Dump Fees"),"COGS",IF(OR(E509="Fuel",E509="Insurance",E509="Tools",E509="Repairs"),"Expense","Non-Deductible")))</f>
        <v/>
      </c>
      <c r="G509" t="inlineStr">
        <is>
          <t>COGS</t>
        </is>
      </c>
      <c r="H509">
        <f>IF(G509&lt;&gt;F509,"YES","NO")</f>
        <v/>
      </c>
      <c r="I509" t="inlineStr"/>
      <c r="J509" t="inlineStr">
        <is>
          <t>Bryan</t>
        </is>
      </c>
    </row>
    <row r="510">
      <c r="A510" s="5" t="n">
        <v>45954</v>
      </c>
      <c r="B510" t="inlineStr">
        <is>
          <t>Other Withdrawals - Zelle Instant PMT To Casey Williamson</t>
        </is>
      </c>
      <c r="C510" t="n">
        <v>975</v>
      </c>
      <c r="D510" t="inlineStr">
        <is>
          <t>Debit</t>
        </is>
      </c>
      <c r="E510" t="inlineStr">
        <is>
          <t>Labor</t>
        </is>
      </c>
      <c r="F510">
        <f>IF(E510="Income","Revenue",IF(OR(E510="Materials",E510="Labor",E510="Dump Fees"),"COGS",IF(OR(E510="Fuel",E510="Insurance",E510="Tools",E510="Repairs"),"Expense","Non-Deductible")))</f>
        <v/>
      </c>
      <c r="G510" t="inlineStr">
        <is>
          <t>COGS</t>
        </is>
      </c>
      <c r="H510">
        <f>IF(G510&lt;&gt;F510,"YES","NO")</f>
        <v/>
      </c>
      <c r="I510" t="inlineStr"/>
      <c r="J510" t="inlineStr">
        <is>
          <t>Casey</t>
        </is>
      </c>
    </row>
    <row r="511">
      <c r="A511" s="5" t="n">
        <v>45957</v>
      </c>
      <c r="B511" t="inlineStr">
        <is>
          <t>Card Withdrawals - ATM Withdrawal 1291 OLD BALDWIN NEW ATHENS IL</t>
        </is>
      </c>
      <c r="C511" t="n">
        <v>203.25</v>
      </c>
      <c r="D511" t="inlineStr">
        <is>
          <t>Debit</t>
        </is>
      </c>
      <c r="E511" t="inlineStr">
        <is>
          <t>Tools</t>
        </is>
      </c>
      <c r="F511">
        <f>IF(E511="Income","Revenue",IF(OR(E511="Materials",E511="Labor",E511="Dump Fees"),"COGS",IF(OR(E511="Fuel",E511="Insurance",E511="Tools",E511="Repairs"),"Expense","Non-Deductible")))</f>
        <v/>
      </c>
      <c r="G511" t="inlineStr">
        <is>
          <t>Expense</t>
        </is>
      </c>
      <c r="H511">
        <f>IF(G511&lt;&gt;F511,"YES","NO")</f>
        <v/>
      </c>
      <c r="I511" t="inlineStr"/>
      <c r="J511" t="inlineStr"/>
    </row>
    <row r="512">
      <c r="A512" s="5" t="n">
        <v>45957</v>
      </c>
      <c r="B512" t="inlineStr">
        <is>
          <t>Card Withdrawals - Debit Purchase - VISA On 102225 Freeburg IL 5109672285</t>
        </is>
      </c>
      <c r="C512" t="n">
        <v>72</v>
      </c>
      <c r="D512" t="inlineStr">
        <is>
          <t>Debit</t>
        </is>
      </c>
      <c r="E512" t="inlineStr">
        <is>
          <t>Tools</t>
        </is>
      </c>
      <c r="F512">
        <f>IF(E512="Income","Revenue",IF(OR(E512="Materials",E512="Labor",E512="Dump Fees"),"COGS",IF(OR(E512="Fuel",E512="Insurance",E512="Tools",E512="Repairs"),"Expense","Non-Deductible")))</f>
        <v/>
      </c>
      <c r="G512" t="inlineStr">
        <is>
          <t>Expense</t>
        </is>
      </c>
      <c r="H512">
        <f>IF(G512&lt;&gt;F512,"YES","NO")</f>
        <v/>
      </c>
      <c r="I512" t="inlineStr"/>
      <c r="J512" t="inlineStr"/>
    </row>
    <row r="513">
      <c r="A513" s="5" t="n">
        <v>45957</v>
      </c>
      <c r="B513" t="inlineStr">
        <is>
          <t>Card Withdrawals - Debit Purchase - VISA On 102325 BELLEVILLE IL 8526475013</t>
        </is>
      </c>
      <c r="C513" t="n">
        <v>25.94</v>
      </c>
      <c r="D513" t="inlineStr">
        <is>
          <t>Debit</t>
        </is>
      </c>
      <c r="E513" t="inlineStr">
        <is>
          <t>Tools</t>
        </is>
      </c>
      <c r="F513">
        <f>IF(E513="Income","Revenue",IF(OR(E513="Materials",E513="Labor",E513="Dump Fees"),"COGS",IF(OR(E513="Fuel",E513="Insurance",E513="Tools",E513="Repairs"),"Expense","Non-Deductible")))</f>
        <v/>
      </c>
      <c r="G513" t="inlineStr">
        <is>
          <t>Expense</t>
        </is>
      </c>
      <c r="H513">
        <f>IF(G513&lt;&gt;F513,"YES","NO")</f>
        <v/>
      </c>
      <c r="I513" t="inlineStr"/>
      <c r="J513" t="inlineStr"/>
    </row>
    <row r="514">
      <c r="A514" s="5" t="n">
        <v>45957</v>
      </c>
      <c r="B514" t="inlineStr">
        <is>
          <t>Card Withdrawals - Debit Purchase - VISA On 102425 ST LOUIS MO 9103297909</t>
        </is>
      </c>
      <c r="C514" t="n">
        <v>13.44</v>
      </c>
      <c r="D514" t="inlineStr">
        <is>
          <t>Debit</t>
        </is>
      </c>
      <c r="E514" t="inlineStr">
        <is>
          <t>Tools</t>
        </is>
      </c>
      <c r="F514">
        <f>IF(E514="Income","Revenue",IF(OR(E514="Materials",E514="Labor",E514="Dump Fees"),"COGS",IF(OR(E514="Fuel",E514="Insurance",E514="Tools",E514="Repairs"),"Expense","Non-Deductible")))</f>
        <v/>
      </c>
      <c r="G514" t="inlineStr">
        <is>
          <t>Expense</t>
        </is>
      </c>
      <c r="H514">
        <f>IF(G514&lt;&gt;F514,"YES","NO")</f>
        <v/>
      </c>
      <c r="I514" t="inlineStr"/>
      <c r="J514" t="inlineStr"/>
    </row>
    <row r="515">
      <c r="A515" s="5" t="n">
        <v>45957</v>
      </c>
      <c r="B515" t="inlineStr">
        <is>
          <t>Card Withdrawals - Debit Purchase - VISA On 102425 ST. LOUIS MO 9030068221</t>
        </is>
      </c>
      <c r="C515" t="n">
        <v>100.98</v>
      </c>
      <c r="D515" t="inlineStr">
        <is>
          <t>Debit</t>
        </is>
      </c>
      <c r="E515" t="inlineStr">
        <is>
          <t>Tools</t>
        </is>
      </c>
      <c r="F515">
        <f>IF(E515="Income","Revenue",IF(OR(E515="Materials",E515="Labor",E515="Dump Fees"),"COGS",IF(OR(E515="Fuel",E515="Insurance",E515="Tools",E515="Repairs"),"Expense","Non-Deductible")))</f>
        <v/>
      </c>
      <c r="G515" t="inlineStr">
        <is>
          <t>Expense</t>
        </is>
      </c>
      <c r="H515">
        <f>IF(G515&lt;&gt;F515,"YES","NO")</f>
        <v/>
      </c>
      <c r="I515" t="inlineStr"/>
      <c r="J515" t="inlineStr"/>
    </row>
    <row r="516">
      <c r="A516" s="5" t="n">
        <v>45957</v>
      </c>
      <c r="B516" t="inlineStr">
        <is>
          <t>Card Withdrawals - Debit Purchase - VISA On 102525 NEW ATHENS IL 9300679289</t>
        </is>
      </c>
      <c r="C516" t="n">
        <v>86.92</v>
      </c>
      <c r="D516" t="inlineStr">
        <is>
          <t>Debit</t>
        </is>
      </c>
      <c r="E516" t="inlineStr">
        <is>
          <t>Tools</t>
        </is>
      </c>
      <c r="F516">
        <f>IF(E516="Income","Revenue",IF(OR(E516="Materials",E516="Labor",E516="Dump Fees"),"COGS",IF(OR(E516="Fuel",E516="Insurance",E516="Tools",E516="Repairs"),"Expense","Non-Deductible")))</f>
        <v/>
      </c>
      <c r="G516" t="inlineStr">
        <is>
          <t>Expense</t>
        </is>
      </c>
      <c r="H516">
        <f>IF(G516&lt;&gt;F516,"YES","NO")</f>
        <v/>
      </c>
      <c r="I516" t="inlineStr"/>
      <c r="J516" t="inlineStr"/>
    </row>
    <row r="517">
      <c r="A517" s="5" t="n">
        <v>45957</v>
      </c>
      <c r="B517" t="inlineStr">
        <is>
          <t>Card Withdrawals - Debit Purchase QT 651 OUTSIDE ST LOUIS MO 7610242227</t>
        </is>
      </c>
      <c r="C517" t="n">
        <v>34.59</v>
      </c>
      <c r="D517" t="inlineStr">
        <is>
          <t>Debit</t>
        </is>
      </c>
      <c r="E517" t="inlineStr">
        <is>
          <t>Tools</t>
        </is>
      </c>
      <c r="F517">
        <f>IF(E517="Income","Revenue",IF(OR(E517="Materials",E517="Labor",E517="Dump Fees"),"COGS",IF(OR(E517="Fuel",E517="Insurance",E517="Tools",E517="Repairs"),"Expense","Non-Deductible")))</f>
        <v/>
      </c>
      <c r="G517" t="inlineStr">
        <is>
          <t>Expense</t>
        </is>
      </c>
      <c r="H517">
        <f>IF(G517&lt;&gt;F517,"YES","NO")</f>
        <v/>
      </c>
      <c r="I517" t="inlineStr"/>
      <c r="J517" t="inlineStr"/>
    </row>
    <row r="518">
      <c r="A518" s="5" t="n">
        <v>45957</v>
      </c>
      <c r="B518" t="inlineStr">
        <is>
          <t>Card Withdrawals - Fee ATM Withdrawal At Other Network 2700003661 $</t>
        </is>
      </c>
      <c r="C518" t="n">
        <v>3</v>
      </c>
      <c r="D518" t="inlineStr">
        <is>
          <t>Debit</t>
        </is>
      </c>
      <c r="E518" t="inlineStr">
        <is>
          <t>Tools</t>
        </is>
      </c>
      <c r="F518">
        <f>IF(E518="Income","Revenue",IF(OR(E518="Materials",E518="Labor",E518="Dump Fees"),"COGS",IF(OR(E518="Fuel",E518="Insurance",E518="Tools",E518="Repairs"),"Expense","Non-Deductible")))</f>
        <v/>
      </c>
      <c r="G518" t="inlineStr">
        <is>
          <t>Expense</t>
        </is>
      </c>
      <c r="H518">
        <f>IF(G518&lt;&gt;F518,"YES","NO")</f>
        <v/>
      </c>
      <c r="I518" t="inlineStr"/>
      <c r="J518" t="inlineStr"/>
    </row>
    <row r="519">
      <c r="A519" s="5" t="n">
        <v>45958</v>
      </c>
      <c r="B519" t="inlineStr">
        <is>
          <t>Card Withdrawals - Debit Purchase - VISA On 102725 FAIRVIEW HEI IL 0529284866</t>
        </is>
      </c>
      <c r="C519" t="n">
        <v>68.23</v>
      </c>
      <c r="D519" t="inlineStr">
        <is>
          <t>Debit</t>
        </is>
      </c>
      <c r="E519" t="inlineStr">
        <is>
          <t>Tools</t>
        </is>
      </c>
      <c r="F519">
        <f>IF(E519="Income","Revenue",IF(OR(E519="Materials",E519="Labor",E519="Dump Fees"),"COGS",IF(OR(E519="Fuel",E519="Insurance",E519="Tools",E519="Repairs"),"Expense","Non-Deductible")))</f>
        <v/>
      </c>
      <c r="G519" t="inlineStr">
        <is>
          <t>Expense</t>
        </is>
      </c>
      <c r="H519">
        <f>IF(G519&lt;&gt;F519,"YES","NO")</f>
        <v/>
      </c>
      <c r="I519" t="inlineStr"/>
      <c r="J519" t="inlineStr"/>
    </row>
    <row r="520">
      <c r="A520" s="5" t="n">
        <v>45958</v>
      </c>
      <c r="B520" t="inlineStr">
        <is>
          <t>Other Withdrawals - Mobile Banking Transfer To Account 152316875235</t>
        </is>
      </c>
      <c r="C520" t="n">
        <v>100</v>
      </c>
      <c r="D520" t="inlineStr">
        <is>
          <t>Debit</t>
        </is>
      </c>
      <c r="E520" t="inlineStr">
        <is>
          <t>Transfer</t>
        </is>
      </c>
      <c r="F520">
        <f>IF(E520="Income","Revenue",IF(OR(E520="Materials",E520="Labor",E520="Dump Fees"),"COGS",IF(OR(E520="Fuel",E520="Insurance",E520="Tools",E520="Repairs"),"Expense","Non-Deductible")))</f>
        <v/>
      </c>
      <c r="G520" t="inlineStr">
        <is>
          <t>Non-Deductible</t>
        </is>
      </c>
      <c r="H520">
        <f>IF(G520&lt;&gt;F520,"YES","NO")</f>
        <v/>
      </c>
      <c r="I520" t="inlineStr"/>
      <c r="J520" t="inlineStr"/>
    </row>
    <row r="521">
      <c r="A521" s="5" t="n">
        <v>45960</v>
      </c>
      <c r="B521" t="inlineStr">
        <is>
          <t>Card Withdrawals - ATM Withdrawal 611 NORTH 2ND ST LENZBURG IL</t>
        </is>
      </c>
      <c r="C521" t="n">
        <v>104</v>
      </c>
      <c r="D521" t="inlineStr">
        <is>
          <t>Debit</t>
        </is>
      </c>
      <c r="E521" t="inlineStr">
        <is>
          <t>Tools</t>
        </is>
      </c>
      <c r="F521">
        <f>IF(E521="Income","Revenue",IF(OR(E521="Materials",E521="Labor",E521="Dump Fees"),"COGS",IF(OR(E521="Fuel",E521="Insurance",E521="Tools",E521="Repairs"),"Expense","Non-Deductible")))</f>
        <v/>
      </c>
      <c r="G521" t="inlineStr">
        <is>
          <t>Expense</t>
        </is>
      </c>
      <c r="H521">
        <f>IF(G521&lt;&gt;F521,"YES","NO")</f>
        <v/>
      </c>
      <c r="I521" t="inlineStr"/>
      <c r="J521" t="inlineStr"/>
    </row>
    <row r="522">
      <c r="A522" s="5" t="n">
        <v>45960</v>
      </c>
      <c r="B522" t="inlineStr">
        <is>
          <t>Card Withdrawals - Fee ATM Withdrawal At Other Network 3000001505</t>
        </is>
      </c>
      <c r="C522" t="n">
        <v>3</v>
      </c>
      <c r="D522" t="inlineStr">
        <is>
          <t>Debit</t>
        </is>
      </c>
      <c r="E522" t="inlineStr">
        <is>
          <t>Tools</t>
        </is>
      </c>
      <c r="F522">
        <f>IF(E522="Income","Revenue",IF(OR(E522="Materials",E522="Labor",E522="Dump Fees"),"COGS",IF(OR(E522="Fuel",E522="Insurance",E522="Tools",E522="Repairs"),"Expense","Non-Deductible")))</f>
        <v/>
      </c>
      <c r="G522" t="inlineStr">
        <is>
          <t>Expense</t>
        </is>
      </c>
      <c r="H522">
        <f>IF(G522&lt;&gt;F522,"YES","NO")</f>
        <v/>
      </c>
      <c r="I522" t="inlineStr"/>
      <c r="J522" t="inlineStr"/>
    </row>
    <row r="523">
      <c r="A523" s="5" t="n">
        <v>45960</v>
      </c>
      <c r="B523" t="inlineStr">
        <is>
          <t>Other Deposits - Mobile Check Deposit 8950355293</t>
        </is>
      </c>
      <c r="C523" t="n">
        <v>500</v>
      </c>
      <c r="D523" t="inlineStr">
        <is>
          <t>Credit</t>
        </is>
      </c>
      <c r="E523" t="inlineStr">
        <is>
          <t>Income</t>
        </is>
      </c>
      <c r="F523">
        <f>IF(E523="Income","Revenue",IF(OR(E523="Materials",E523="Labor",E523="Dump Fees"),"COGS",IF(OR(E523="Fuel",E523="Insurance",E523="Tools",E523="Repairs"),"Expense","Non-Deductible")))</f>
        <v/>
      </c>
      <c r="G523" t="inlineStr">
        <is>
          <t>Revenue</t>
        </is>
      </c>
      <c r="H523">
        <f>IF(G523&lt;&gt;F523,"YES","NO")</f>
        <v/>
      </c>
      <c r="I523" t="inlineStr"/>
      <c r="J523" t="inlineStr"/>
    </row>
    <row r="524">
      <c r="A524" s="5" t="n">
        <v>45960</v>
      </c>
      <c r="B524" t="inlineStr">
        <is>
          <t>Other Withdrawals - Electronic Withdrawal To STATE FARM RO 27</t>
        </is>
      </c>
      <c r="C524" t="n">
        <v>294.97</v>
      </c>
      <c r="D524" t="inlineStr">
        <is>
          <t>Debit</t>
        </is>
      </c>
      <c r="E524" t="inlineStr">
        <is>
          <t>Insurance</t>
        </is>
      </c>
      <c r="F524">
        <f>IF(E524="Income","Revenue",IF(OR(E524="Materials",E524="Labor",E524="Dump Fees"),"COGS",IF(OR(E524="Fuel",E524="Insurance",E524="Tools",E524="Repairs"),"Expense","Non-Deductible")))</f>
        <v/>
      </c>
      <c r="G524" t="inlineStr">
        <is>
          <t>Expense</t>
        </is>
      </c>
      <c r="H524">
        <f>IF(G524&lt;&gt;F524,"YES","NO")</f>
        <v/>
      </c>
      <c r="I524" t="inlineStr"/>
      <c r="J524" t="inlineStr"/>
    </row>
    <row r="525">
      <c r="A525" s="5" t="n">
        <v>45961</v>
      </c>
      <c r="B525" t="inlineStr">
        <is>
          <t>Card Withdrawals - Debit Purchase - VISA On 102925 Glen Carbon IL 3106778995</t>
        </is>
      </c>
      <c r="C525" t="n">
        <v>43.12</v>
      </c>
      <c r="D525" t="inlineStr">
        <is>
          <t>Debit</t>
        </is>
      </c>
      <c r="E525" t="inlineStr">
        <is>
          <t>Tools</t>
        </is>
      </c>
      <c r="F525">
        <f>IF(E525="Income","Revenue",IF(OR(E525="Materials",E525="Labor",E525="Dump Fees"),"COGS",IF(OR(E525="Fuel",E525="Insurance",E525="Tools",E525="Repairs"),"Expense","Non-Deductible")))</f>
        <v/>
      </c>
      <c r="G525" t="inlineStr">
        <is>
          <t>Expense</t>
        </is>
      </c>
      <c r="H525">
        <f>IF(G525&lt;&gt;F525,"YES","NO")</f>
        <v/>
      </c>
      <c r="I525" t="inlineStr"/>
      <c r="J525" t="inlineStr"/>
    </row>
    <row r="526">
      <c r="A526" s="5" t="n">
        <v>45961</v>
      </c>
      <c r="B526" t="inlineStr">
        <is>
          <t>Card Withdrawals - Debit Purchase - VISA On 102925 MARYVILLE IL 3300631650</t>
        </is>
      </c>
      <c r="C526" t="n">
        <v>41.63</v>
      </c>
      <c r="D526" t="inlineStr">
        <is>
          <t>Debit</t>
        </is>
      </c>
      <c r="E526" t="inlineStr">
        <is>
          <t>Tools</t>
        </is>
      </c>
      <c r="F526">
        <f>IF(E526="Income","Revenue",IF(OR(E526="Materials",E526="Labor",E526="Dump Fees"),"COGS",IF(OR(E526="Fuel",E526="Insurance",E526="Tools",E526="Repairs"),"Expense","Non-Deductible")))</f>
        <v/>
      </c>
      <c r="G526" t="inlineStr">
        <is>
          <t>Expense</t>
        </is>
      </c>
      <c r="H526">
        <f>IF(G526&lt;&gt;F526,"YES","NO")</f>
        <v/>
      </c>
      <c r="I526" t="inlineStr"/>
      <c r="J526" t="inlineStr"/>
    </row>
    <row r="527">
      <c r="A527" s="5" t="n">
        <v>45961</v>
      </c>
      <c r="B527" t="inlineStr">
        <is>
          <t>Card Withdrawals - Debit Purchase verifyvend855-55 PROVIDENCE RI 9610301635</t>
        </is>
      </c>
      <c r="C527" t="n">
        <v>97.38</v>
      </c>
      <c r="D527" t="inlineStr">
        <is>
          <t>Debit</t>
        </is>
      </c>
      <c r="E527" t="inlineStr">
        <is>
          <t>Tools</t>
        </is>
      </c>
      <c r="F527">
        <f>IF(E527="Income","Revenue",IF(OR(E527="Materials",E527="Labor",E527="Dump Fees"),"COGS",IF(OR(E527="Fuel",E527="Insurance",E527="Tools",E527="Repairs"),"Expense","Non-Deductible")))</f>
        <v/>
      </c>
      <c r="G527" t="inlineStr">
        <is>
          <t>Expense</t>
        </is>
      </c>
      <c r="H527">
        <f>IF(G527&lt;&gt;F527,"YES","NO")</f>
        <v/>
      </c>
      <c r="I527" t="inlineStr"/>
      <c r="J527" t="inlineStr"/>
    </row>
    <row r="528">
      <c r="A528" s="5" t="n">
        <v>45961</v>
      </c>
      <c r="B528" t="inlineStr">
        <is>
          <t>Other Withdrawals - Customer Withdrawal 9251030071</t>
        </is>
      </c>
      <c r="C528" t="n">
        <v>400</v>
      </c>
      <c r="D528" t="inlineStr">
        <is>
          <t>Debit</t>
        </is>
      </c>
      <c r="E528" t="inlineStr">
        <is>
          <t>Tools</t>
        </is>
      </c>
      <c r="F528">
        <f>IF(E528="Income","Revenue",IF(OR(E528="Materials",E528="Labor",E528="Dump Fees"),"COGS",IF(OR(E528="Fuel",E528="Insurance",E528="Tools",E528="Repairs"),"Expense","Non-Deductible")))</f>
        <v/>
      </c>
      <c r="G528" t="inlineStr">
        <is>
          <t>Expense</t>
        </is>
      </c>
      <c r="H528">
        <f>IF(G528&lt;&gt;F528,"YES","NO")</f>
        <v/>
      </c>
      <c r="I528" t="inlineStr"/>
      <c r="J528" t="inlineStr"/>
    </row>
    <row r="529">
      <c r="A529" s="5" t="n">
        <v>45964</v>
      </c>
      <c r="B529" t="inlineStr">
        <is>
          <t>Card Withdrawals - ATM Withdrawal 8000 S LACLEDE S ST LOUIS MO</t>
        </is>
      </c>
      <c r="C529" t="n">
        <v>21.95</v>
      </c>
      <c r="D529" t="inlineStr">
        <is>
          <t>Debit</t>
        </is>
      </c>
      <c r="E529" t="inlineStr">
        <is>
          <t>Tools</t>
        </is>
      </c>
      <c r="F529">
        <f>IF(E529="Income","Revenue",IF(OR(E529="Materials",E529="Labor",E529="Dump Fees"),"COGS",IF(OR(E529="Fuel",E529="Insurance",E529="Tools",E529="Repairs"),"Expense","Non-Deductible")))</f>
        <v/>
      </c>
      <c r="G529" t="inlineStr">
        <is>
          <t>Expense</t>
        </is>
      </c>
      <c r="H529">
        <f>IF(G529&lt;&gt;F529,"YES","NO")</f>
        <v/>
      </c>
      <c r="I529" t="inlineStr"/>
      <c r="J529" t="inlineStr"/>
    </row>
    <row r="530">
      <c r="A530" s="5" t="n">
        <v>45964</v>
      </c>
      <c r="B530" t="inlineStr">
        <is>
          <t>Card Withdrawals - Debit Purchase - VISA On 103125 FREEBURG IL 4900012600</t>
        </is>
      </c>
      <c r="C530" t="n">
        <v>72.77</v>
      </c>
      <c r="D530" t="inlineStr">
        <is>
          <t>Debit</t>
        </is>
      </c>
      <c r="E530" t="inlineStr">
        <is>
          <t>Tools</t>
        </is>
      </c>
      <c r="F530">
        <f>IF(E530="Income","Revenue",IF(OR(E530="Materials",E530="Labor",E530="Dump Fees"),"COGS",IF(OR(E530="Fuel",E530="Insurance",E530="Tools",E530="Repairs"),"Expense","Non-Deductible")))</f>
        <v/>
      </c>
      <c r="G530" t="inlineStr">
        <is>
          <t>Expense</t>
        </is>
      </c>
      <c r="H530">
        <f>IF(G530&lt;&gt;F530,"YES","NO")</f>
        <v/>
      </c>
      <c r="I530" t="inlineStr"/>
      <c r="J530" t="inlineStr"/>
    </row>
    <row r="531">
      <c r="A531" s="5" t="n">
        <v>45964</v>
      </c>
      <c r="B531" t="inlineStr">
        <is>
          <t>Card Withdrawals - Debit Purchase - VISA On 103125 WATERLOO IL 5318070606 $</t>
        </is>
      </c>
      <c r="C531" t="n">
        <v>17.35</v>
      </c>
      <c r="D531" t="inlineStr">
        <is>
          <t>Debit</t>
        </is>
      </c>
      <c r="E531" t="inlineStr">
        <is>
          <t>Tools</t>
        </is>
      </c>
      <c r="F531">
        <f>IF(E531="Income","Revenue",IF(OR(E531="Materials",E531="Labor",E531="Dump Fees"),"COGS",IF(OR(E531="Fuel",E531="Insurance",E531="Tools",E531="Repairs"),"Expense","Non-Deductible")))</f>
        <v/>
      </c>
      <c r="G531" t="inlineStr">
        <is>
          <t>Expense</t>
        </is>
      </c>
      <c r="H531">
        <f>IF(G531&lt;&gt;F531,"YES","NO")</f>
        <v/>
      </c>
      <c r="I531" t="inlineStr"/>
      <c r="J531" t="inlineStr"/>
    </row>
    <row r="532">
      <c r="A532" s="5" t="n">
        <v>45964</v>
      </c>
      <c r="B532" t="inlineStr">
        <is>
          <t>Card Withdrawals - Debit Purchase 7-ELEVEN 26184 Florissant MO</t>
        </is>
      </c>
      <c r="C532" t="n">
        <v>70.44</v>
      </c>
      <c r="D532" t="inlineStr">
        <is>
          <t>Debit</t>
        </is>
      </c>
      <c r="E532" t="inlineStr">
        <is>
          <t>Tools</t>
        </is>
      </c>
      <c r="F532">
        <f>IF(E532="Income","Revenue",IF(OR(E532="Materials",E532="Labor",E532="Dump Fees"),"COGS",IF(OR(E532="Fuel",E532="Insurance",E532="Tools",E532="Repairs"),"Expense","Non-Deductible")))</f>
        <v/>
      </c>
      <c r="G532" t="inlineStr">
        <is>
          <t>Expense</t>
        </is>
      </c>
      <c r="H532">
        <f>IF(G532&lt;&gt;F532,"YES","NO")</f>
        <v/>
      </c>
      <c r="I532" t="inlineStr"/>
      <c r="J532" t="inlineStr"/>
    </row>
    <row r="533">
      <c r="A533" s="5" t="n">
        <v>45964</v>
      </c>
      <c r="B533" t="inlineStr">
        <is>
          <t>Card Withdrawals - Debit Purchase Liese Lumber Com Belleville IL 1011031306</t>
        </is>
      </c>
      <c r="C533" t="n">
        <v>2022.3</v>
      </c>
      <c r="D533" t="inlineStr">
        <is>
          <t>Debit</t>
        </is>
      </c>
      <c r="E533" t="inlineStr">
        <is>
          <t>Tools</t>
        </is>
      </c>
      <c r="F533">
        <f>IF(E533="Income","Revenue",IF(OR(E533="Materials",E533="Labor",E533="Dump Fees"),"COGS",IF(OR(E533="Fuel",E533="Insurance",E533="Tools",E533="Repairs"),"Expense","Non-Deductible")))</f>
        <v/>
      </c>
      <c r="G533" t="inlineStr">
        <is>
          <t>Expense</t>
        </is>
      </c>
      <c r="H533">
        <f>IF(G533&lt;&gt;F533,"YES","NO")</f>
        <v/>
      </c>
      <c r="I533" t="inlineStr"/>
      <c r="J533" t="inlineStr"/>
    </row>
    <row r="534">
      <c r="A534" s="5" t="n">
        <v>45964</v>
      </c>
      <c r="B534" t="inlineStr">
        <is>
          <t>Card Withdrawals - Fee ATM Withdrawal At Other Network 0300004696 $</t>
        </is>
      </c>
      <c r="C534" t="n">
        <v>3</v>
      </c>
      <c r="D534" t="inlineStr">
        <is>
          <t>Debit</t>
        </is>
      </c>
      <c r="E534" t="inlineStr">
        <is>
          <t>Tools</t>
        </is>
      </c>
      <c r="F534">
        <f>IF(E534="Income","Revenue",IF(OR(E534="Materials",E534="Labor",E534="Dump Fees"),"COGS",IF(OR(E534="Fuel",E534="Insurance",E534="Tools",E534="Repairs"),"Expense","Non-Deductible")))</f>
        <v/>
      </c>
      <c r="G534" t="inlineStr">
        <is>
          <t>Expense</t>
        </is>
      </c>
      <c r="H534">
        <f>IF(G534&lt;&gt;F534,"YES","NO")</f>
        <v/>
      </c>
      <c r="I534" t="inlineStr"/>
      <c r="J534" t="inlineStr"/>
    </row>
    <row r="535">
      <c r="A535" s="5" t="n">
        <v>45964</v>
      </c>
      <c r="B535" t="inlineStr">
        <is>
          <t>Other Withdrawals - 13,617.83 Nov13 15,120.55 Nov21</t>
        </is>
      </c>
      <c r="C535" t="n">
        <v>10449.77</v>
      </c>
      <c r="D535" t="inlineStr">
        <is>
          <t>Credit</t>
        </is>
      </c>
      <c r="E535" t="inlineStr">
        <is>
          <t>Income</t>
        </is>
      </c>
      <c r="F535">
        <f>IF(E535="Income","Revenue",IF(OR(E535="Materials",E535="Labor",E535="Dump Fees"),"COGS",IF(OR(E535="Fuel",E535="Insurance",E535="Tools",E535="Repairs"),"Expense","Non-Deductible")))</f>
        <v/>
      </c>
      <c r="G535" t="inlineStr">
        <is>
          <t>Revenue</t>
        </is>
      </c>
      <c r="H535">
        <f>IF(G535&lt;&gt;F535,"YES","NO")</f>
        <v/>
      </c>
      <c r="I535" t="inlineStr"/>
      <c r="J535" t="inlineStr"/>
    </row>
    <row r="536">
      <c r="A536" s="5" t="n">
        <v>45964</v>
      </c>
      <c r="B536" t="inlineStr">
        <is>
          <t>Other Withdrawals - Electronic Withdrawal To DISCOVER</t>
        </is>
      </c>
      <c r="C536" t="n">
        <v>152.25</v>
      </c>
      <c r="D536" t="inlineStr">
        <is>
          <t>Debit</t>
        </is>
      </c>
      <c r="E536" t="inlineStr">
        <is>
          <t>Tools</t>
        </is>
      </c>
      <c r="F536">
        <f>IF(E536="Income","Revenue",IF(OR(E536="Materials",E536="Labor",E536="Dump Fees"),"COGS",IF(OR(E536="Fuel",E536="Insurance",E536="Tools",E536="Repairs"),"Expense","Non-Deductible")))</f>
        <v/>
      </c>
      <c r="G536" t="inlineStr">
        <is>
          <t>Expense</t>
        </is>
      </c>
      <c r="H536">
        <f>IF(G536&lt;&gt;F536,"YES","NO")</f>
        <v/>
      </c>
      <c r="I536" t="inlineStr"/>
      <c r="J536" t="inlineStr"/>
    </row>
    <row r="537">
      <c r="A537" s="5" t="n">
        <v>45964</v>
      </c>
      <c r="B537" t="inlineStr">
        <is>
          <t>Other Withdrawals - Electronic Withdrawal To MERCURY FBT $</t>
        </is>
      </c>
      <c r="C537" t="n">
        <v>15</v>
      </c>
      <c r="D537" t="inlineStr">
        <is>
          <t>Debit</t>
        </is>
      </c>
      <c r="E537" t="inlineStr">
        <is>
          <t>Tools</t>
        </is>
      </c>
      <c r="F537">
        <f>IF(E537="Income","Revenue",IF(OR(E537="Materials",E537="Labor",E537="Dump Fees"),"COGS",IF(OR(E537="Fuel",E537="Insurance",E537="Tools",E537="Repairs"),"Expense","Non-Deductible")))</f>
        <v/>
      </c>
      <c r="G537" t="inlineStr">
        <is>
          <t>Expense</t>
        </is>
      </c>
      <c r="H537">
        <f>IF(G537&lt;&gt;F537,"YES","NO")</f>
        <v/>
      </c>
      <c r="I537" t="inlineStr"/>
      <c r="J537" t="inlineStr"/>
    </row>
    <row r="538">
      <c r="A538" s="5" t="n">
        <v>45964</v>
      </c>
      <c r="B538" t="inlineStr">
        <is>
          <t>Other Withdrawals - Mobile Banking Transfer To Account 152316875235</t>
        </is>
      </c>
      <c r="C538" t="n">
        <v>500</v>
      </c>
      <c r="D538" t="inlineStr">
        <is>
          <t>Debit</t>
        </is>
      </c>
      <c r="E538" t="inlineStr">
        <is>
          <t>Transfer</t>
        </is>
      </c>
      <c r="F538">
        <f>IF(E538="Income","Revenue",IF(OR(E538="Materials",E538="Labor",E538="Dump Fees"),"COGS",IF(OR(E538="Fuel",E538="Insurance",E538="Tools",E538="Repairs"),"Expense","Non-Deductible")))</f>
        <v/>
      </c>
      <c r="G538" t="inlineStr">
        <is>
          <t>Non-Deductible</t>
        </is>
      </c>
      <c r="H538">
        <f>IF(G538&lt;&gt;F538,"YES","NO")</f>
        <v/>
      </c>
      <c r="I538" t="inlineStr"/>
      <c r="J538" t="inlineStr"/>
    </row>
    <row r="539">
      <c r="A539" s="5" t="n">
        <v>45964</v>
      </c>
      <c r="B539" t="inlineStr">
        <is>
          <t>Other Withdrawals - Zelle Instant PMT To Brian Davis</t>
        </is>
      </c>
      <c r="C539" t="n">
        <v>210</v>
      </c>
      <c r="D539" t="inlineStr">
        <is>
          <t>Debit</t>
        </is>
      </c>
      <c r="E539" t="inlineStr">
        <is>
          <t>Labor</t>
        </is>
      </c>
      <c r="F539">
        <f>IF(E539="Income","Revenue",IF(OR(E539="Materials",E539="Labor",E539="Dump Fees"),"COGS",IF(OR(E539="Fuel",E539="Insurance",E539="Tools",E539="Repairs"),"Expense","Non-Deductible")))</f>
        <v/>
      </c>
      <c r="G539" t="inlineStr">
        <is>
          <t>COGS</t>
        </is>
      </c>
      <c r="H539">
        <f>IF(G539&lt;&gt;F539,"YES","NO")</f>
        <v/>
      </c>
      <c r="I539" t="inlineStr"/>
      <c r="J539" t="inlineStr">
        <is>
          <t>Bryan</t>
        </is>
      </c>
    </row>
    <row r="540">
      <c r="A540" s="5" t="n">
        <v>45965</v>
      </c>
      <c r="B540" t="inlineStr">
        <is>
          <t>Card Withdrawals - Debit Purchase - VISA On 110225 FLORISSANT MO 7319185017</t>
        </is>
      </c>
      <c r="C540" t="n">
        <v>71.54000000000001</v>
      </c>
      <c r="D540" t="inlineStr">
        <is>
          <t>Debit</t>
        </is>
      </c>
      <c r="E540" t="inlineStr">
        <is>
          <t>Tools</t>
        </is>
      </c>
      <c r="F540">
        <f>IF(E540="Income","Revenue",IF(OR(E540="Materials",E540="Labor",E540="Dump Fees"),"COGS",IF(OR(E540="Fuel",E540="Insurance",E540="Tools",E540="Repairs"),"Expense","Non-Deductible")))</f>
        <v/>
      </c>
      <c r="G540" t="inlineStr">
        <is>
          <t>Expense</t>
        </is>
      </c>
      <c r="H540">
        <f>IF(G540&lt;&gt;F540,"YES","NO")</f>
        <v/>
      </c>
      <c r="I540" t="inlineStr"/>
      <c r="J540" t="inlineStr"/>
    </row>
    <row r="541">
      <c r="A541" s="5" t="n">
        <v>45965</v>
      </c>
      <c r="B541" t="inlineStr">
        <is>
          <t>Other Withdrawals - 13,546.29 Nov14 13,479.30 Nov24</t>
        </is>
      </c>
      <c r="C541" t="n">
        <v>8841.559999999999</v>
      </c>
      <c r="D541" t="inlineStr">
        <is>
          <t>Credit</t>
        </is>
      </c>
      <c r="E541" t="inlineStr">
        <is>
          <t>Income</t>
        </is>
      </c>
      <c r="F541">
        <f>IF(E541="Income","Revenue",IF(OR(E541="Materials",E541="Labor",E541="Dump Fees"),"COGS",IF(OR(E541="Fuel",E541="Insurance",E541="Tools",E541="Repairs"),"Expense","Non-Deductible")))</f>
        <v/>
      </c>
      <c r="G541" t="inlineStr">
        <is>
          <t>Revenue</t>
        </is>
      </c>
      <c r="H541">
        <f>IF(G541&lt;&gt;F541,"YES","NO")</f>
        <v/>
      </c>
      <c r="I541" t="inlineStr"/>
      <c r="J541" t="inlineStr"/>
    </row>
    <row r="542">
      <c r="A542" s="5" t="n">
        <v>45966</v>
      </c>
      <c r="B542" t="inlineStr">
        <is>
          <t>Other Deposits - Mobile Banking Transfer From Account 152316874980 $</t>
        </is>
      </c>
      <c r="C542" t="n">
        <v>275</v>
      </c>
      <c r="D542" t="inlineStr">
        <is>
          <t>Credit</t>
        </is>
      </c>
      <c r="E542" t="inlineStr">
        <is>
          <t>Transfer</t>
        </is>
      </c>
      <c r="F542">
        <f>IF(E542="Income","Revenue",IF(OR(E542="Materials",E542="Labor",E542="Dump Fees"),"COGS",IF(OR(E542="Fuel",E542="Insurance",E542="Tools",E542="Repairs"),"Expense","Non-Deductible")))</f>
        <v/>
      </c>
      <c r="G542" t="inlineStr">
        <is>
          <t>Non-Deductible</t>
        </is>
      </c>
      <c r="H542">
        <f>IF(G542&lt;&gt;F542,"YES","NO")</f>
        <v/>
      </c>
      <c r="I542" t="inlineStr"/>
      <c r="J542" t="inlineStr"/>
    </row>
    <row r="543">
      <c r="A543" s="5" t="n">
        <v>45966</v>
      </c>
      <c r="B543" t="inlineStr">
        <is>
          <t>Other Deposits - Mobile Check Deposit 8650986567</t>
        </is>
      </c>
      <c r="C543" t="n">
        <v>900</v>
      </c>
      <c r="D543" t="inlineStr">
        <is>
          <t>Credit</t>
        </is>
      </c>
      <c r="E543" t="inlineStr">
        <is>
          <t>Income</t>
        </is>
      </c>
      <c r="F543">
        <f>IF(E543="Income","Revenue",IF(OR(E543="Materials",E543="Labor",E543="Dump Fees"),"COGS",IF(OR(E543="Fuel",E543="Insurance",E543="Tools",E543="Repairs"),"Expense","Non-Deductible")))</f>
        <v/>
      </c>
      <c r="G543" t="inlineStr">
        <is>
          <t>Revenue</t>
        </is>
      </c>
      <c r="H543">
        <f>IF(G543&lt;&gt;F543,"YES","NO")</f>
        <v/>
      </c>
      <c r="I543" t="inlineStr"/>
      <c r="J543" t="inlineStr"/>
    </row>
    <row r="544">
      <c r="A544" s="5" t="n">
        <v>45966</v>
      </c>
      <c r="B544" t="inlineStr">
        <is>
          <t>Other Deposits - Mobile Check Deposit 8651104382</t>
        </is>
      </c>
      <c r="C544" t="n">
        <v>421</v>
      </c>
      <c r="D544" t="inlineStr">
        <is>
          <t>Credit</t>
        </is>
      </c>
      <c r="E544" t="inlineStr">
        <is>
          <t>Income</t>
        </is>
      </c>
      <c r="F544">
        <f>IF(E544="Income","Revenue",IF(OR(E544="Materials",E544="Labor",E544="Dump Fees"),"COGS",IF(OR(E544="Fuel",E544="Insurance",E544="Tools",E544="Repairs"),"Expense","Non-Deductible")))</f>
        <v/>
      </c>
      <c r="G544" t="inlineStr">
        <is>
          <t>Revenue</t>
        </is>
      </c>
      <c r="H544">
        <f>IF(G544&lt;&gt;F544,"YES","NO")</f>
        <v/>
      </c>
      <c r="I544" t="inlineStr"/>
      <c r="J544" t="inlineStr"/>
    </row>
    <row r="545">
      <c r="A545" s="5" t="n">
        <v>45966</v>
      </c>
      <c r="B545" t="inlineStr">
        <is>
          <t>Other Withdrawals - 15,142.29 Nov17 12,336.19 Nov25</t>
        </is>
      </c>
      <c r="C545" t="n">
        <v>11347.6</v>
      </c>
      <c r="D545" t="inlineStr">
        <is>
          <t>Credit</t>
        </is>
      </c>
      <c r="E545" t="inlineStr">
        <is>
          <t>Income</t>
        </is>
      </c>
      <c r="F545">
        <f>IF(E545="Income","Revenue",IF(OR(E545="Materials",E545="Labor",E545="Dump Fees"),"COGS",IF(OR(E545="Fuel",E545="Insurance",E545="Tools",E545="Repairs"),"Expense","Non-Deductible")))</f>
        <v/>
      </c>
      <c r="G545" t="inlineStr">
        <is>
          <t>Revenue</t>
        </is>
      </c>
      <c r="H545">
        <f>IF(G545&lt;&gt;F545,"YES","NO")</f>
        <v/>
      </c>
      <c r="I545" t="inlineStr"/>
      <c r="J545" t="inlineStr"/>
    </row>
    <row r="546">
      <c r="A546" s="5" t="n">
        <v>45967</v>
      </c>
      <c r="B546" t="inlineStr">
        <is>
          <t>Other Deposits - Debit Purchase Ret - VISA On 110325 O'FALLON IL 8100308531</t>
        </is>
      </c>
      <c r="C546" t="n">
        <v>65.78</v>
      </c>
      <c r="D546" t="inlineStr">
        <is>
          <t>Credit</t>
        </is>
      </c>
      <c r="E546" t="inlineStr">
        <is>
          <t>Income</t>
        </is>
      </c>
      <c r="F546">
        <f>IF(E546="Income","Revenue",IF(OR(E546="Materials",E546="Labor",E546="Dump Fees"),"COGS",IF(OR(E546="Fuel",E546="Insurance",E546="Tools",E546="Repairs"),"Expense","Non-Deductible")))</f>
        <v/>
      </c>
      <c r="G546" t="inlineStr">
        <is>
          <t>Revenue</t>
        </is>
      </c>
      <c r="H546">
        <f>IF(G546&lt;&gt;F546,"YES","NO")</f>
        <v/>
      </c>
      <c r="I546" t="inlineStr"/>
      <c r="J546" t="inlineStr"/>
    </row>
    <row r="547">
      <c r="A547" s="5" t="n">
        <v>45967</v>
      </c>
      <c r="B547" t="inlineStr">
        <is>
          <t>Other Withdrawals - 15,208.07 Nov18 12,221.67 Nov26</t>
        </is>
      </c>
      <c r="C547" t="n">
        <v>13758.82</v>
      </c>
      <c r="D547" t="inlineStr">
        <is>
          <t>Credit</t>
        </is>
      </c>
      <c r="E547" t="inlineStr">
        <is>
          <t>Income</t>
        </is>
      </c>
      <c r="F547">
        <f>IF(E547="Income","Revenue",IF(OR(E547="Materials",E547="Labor",E547="Dump Fees"),"COGS",IF(OR(E547="Fuel",E547="Insurance",E547="Tools",E547="Repairs"),"Expense","Non-Deductible")))</f>
        <v/>
      </c>
      <c r="G547" t="inlineStr">
        <is>
          <t>Revenue</t>
        </is>
      </c>
      <c r="H547">
        <f>IF(G547&lt;&gt;F547,"YES","NO")</f>
        <v/>
      </c>
      <c r="I547" t="inlineStr"/>
      <c r="J547" t="inlineStr"/>
    </row>
    <row r="548">
      <c r="A548" s="5" t="n">
        <v>45993</v>
      </c>
      <c r="B548" t="inlineStr">
        <is>
          <t>Card Withdrawals - Debit Purchase - VISA On 120125 866-686-2158 DE 6171915040</t>
        </is>
      </c>
      <c r="C548" t="n">
        <v>500</v>
      </c>
      <c r="D548" t="inlineStr">
        <is>
          <t>Debit</t>
        </is>
      </c>
      <c r="E548" t="inlineStr">
        <is>
          <t>Tools</t>
        </is>
      </c>
      <c r="F548">
        <f>IF(E548="Income","Revenue",IF(OR(E548="Materials",E548="Labor",E548="Dump Fees"),"COGS",IF(OR(E548="Fuel",E548="Insurance",E548="Tools",E548="Repairs"),"Expense","Non-Deductible")))</f>
        <v/>
      </c>
      <c r="G548" t="inlineStr">
        <is>
          <t>Expense</t>
        </is>
      </c>
      <c r="H548">
        <f>IF(G548&lt;&gt;F548,"YES","NO")</f>
        <v/>
      </c>
      <c r="I548" t="inlineStr"/>
      <c r="J548" t="inlineStr"/>
    </row>
    <row r="549">
      <c r="A549" s="5" t="n">
        <v>45993</v>
      </c>
      <c r="B549" t="inlineStr">
        <is>
          <t>Card Withdrawals - Debit Purchase - VISA On 120125 COLUMBIA IL 6073224707 $</t>
        </is>
      </c>
      <c r="C549" t="n">
        <v>15.47</v>
      </c>
      <c r="D549" t="inlineStr">
        <is>
          <t>Debit</t>
        </is>
      </c>
      <c r="E549" t="inlineStr">
        <is>
          <t>Tools</t>
        </is>
      </c>
      <c r="F549">
        <f>IF(E549="Income","Revenue",IF(OR(E549="Materials",E549="Labor",E549="Dump Fees"),"COGS",IF(OR(E549="Fuel",E549="Insurance",E549="Tools",E549="Repairs"),"Expense","Non-Deductible")))</f>
        <v/>
      </c>
      <c r="G549" t="inlineStr">
        <is>
          <t>Expense</t>
        </is>
      </c>
      <c r="H549">
        <f>IF(G549&lt;&gt;F549,"YES","NO")</f>
        <v/>
      </c>
      <c r="I549" t="inlineStr"/>
      <c r="J549" t="inlineStr"/>
    </row>
    <row r="550">
      <c r="A550" s="5" t="n">
        <v>45993</v>
      </c>
      <c r="B550" t="inlineStr">
        <is>
          <t>Card Withdrawals - Debit Purchase CIRCLE K 01604 HIGH RIDGE MO 7212011934</t>
        </is>
      </c>
      <c r="C550" t="n">
        <v>54.53</v>
      </c>
      <c r="D550" t="inlineStr">
        <is>
          <t>Debit</t>
        </is>
      </c>
      <c r="E550" t="inlineStr">
        <is>
          <t>Tools</t>
        </is>
      </c>
      <c r="F550">
        <f>IF(E550="Income","Revenue",IF(OR(E550="Materials",E550="Labor",E550="Dump Fees"),"COGS",IF(OR(E550="Fuel",E550="Insurance",E550="Tools",E550="Repairs"),"Expense","Non-Deductible")))</f>
        <v/>
      </c>
      <c r="G550" t="inlineStr">
        <is>
          <t>Expense</t>
        </is>
      </c>
      <c r="H550">
        <f>IF(G550&lt;&gt;F550,"YES","NO")</f>
        <v/>
      </c>
      <c r="I550" t="inlineStr"/>
      <c r="J550" t="inlineStr"/>
    </row>
    <row r="551">
      <c r="A551" s="5" t="n">
        <v>45993</v>
      </c>
      <c r="B551" t="inlineStr">
        <is>
          <t>Other Withdrawals - 10,237.85 Dec10 16,398.70 Dec19</t>
        </is>
      </c>
      <c r="C551" t="n">
        <v>12249.7</v>
      </c>
      <c r="D551" t="inlineStr">
        <is>
          <t>Credit</t>
        </is>
      </c>
      <c r="E551" t="inlineStr">
        <is>
          <t>Income</t>
        </is>
      </c>
      <c r="F551">
        <f>IF(E551="Income","Revenue",IF(OR(E551="Materials",E551="Labor",E551="Dump Fees"),"COGS",IF(OR(E551="Fuel",E551="Insurance",E551="Tools",E551="Repairs"),"Expense","Non-Deductible")))</f>
        <v/>
      </c>
      <c r="G551" t="inlineStr">
        <is>
          <t>Revenue</t>
        </is>
      </c>
      <c r="H551">
        <f>IF(G551&lt;&gt;F551,"YES","NO")</f>
        <v/>
      </c>
      <c r="I551" t="inlineStr"/>
      <c r="J551" t="inlineStr"/>
    </row>
    <row r="552">
      <c r="A552" s="5" t="n">
        <v>45994</v>
      </c>
      <c r="B552" t="inlineStr">
        <is>
          <t>Card Withdrawals - Debit Purchase - VISA On 120125 HIGH RIDGE MO 6900018688</t>
        </is>
      </c>
      <c r="C552" t="n">
        <v>47.14</v>
      </c>
      <c r="D552" t="inlineStr">
        <is>
          <t>Debit</t>
        </is>
      </c>
      <c r="E552" t="inlineStr">
        <is>
          <t>Tools</t>
        </is>
      </c>
      <c r="F552">
        <f>IF(E552="Income","Revenue",IF(OR(E552="Materials",E552="Labor",E552="Dump Fees"),"COGS",IF(OR(E552="Fuel",E552="Insurance",E552="Tools",E552="Repairs"),"Expense","Non-Deductible")))</f>
        <v/>
      </c>
      <c r="G552" t="inlineStr">
        <is>
          <t>Expense</t>
        </is>
      </c>
      <c r="H552">
        <f>IF(G552&lt;&gt;F552,"YES","NO")</f>
        <v/>
      </c>
      <c r="I552" t="inlineStr"/>
      <c r="J552" t="inlineStr"/>
    </row>
    <row r="553">
      <c r="A553" s="5" t="n">
        <v>45994</v>
      </c>
      <c r="B553" t="inlineStr">
        <is>
          <t>Card Withdrawals - Debit Purchase - VISA On 120225 FREEBURG IL 6720244772</t>
        </is>
      </c>
      <c r="C553" t="n">
        <v>5.42</v>
      </c>
      <c r="D553" t="inlineStr">
        <is>
          <t>Debit</t>
        </is>
      </c>
      <c r="E553" t="inlineStr">
        <is>
          <t>Tools</t>
        </is>
      </c>
      <c r="F553">
        <f>IF(E553="Income","Revenue",IF(OR(E553="Materials",E553="Labor",E553="Dump Fees"),"COGS",IF(OR(E553="Fuel",E553="Insurance",E553="Tools",E553="Repairs"),"Expense","Non-Deductible")))</f>
        <v/>
      </c>
      <c r="G553" t="inlineStr">
        <is>
          <t>Expense</t>
        </is>
      </c>
      <c r="H553">
        <f>IF(G553&lt;&gt;F553,"YES","NO")</f>
        <v/>
      </c>
      <c r="I553" t="inlineStr"/>
      <c r="J553" t="inlineStr"/>
    </row>
    <row r="554">
      <c r="A554" s="5" t="n">
        <v>45994</v>
      </c>
      <c r="B554" t="inlineStr">
        <is>
          <t>Other Withdrawals - 9,718.56 Dec12 14,167.88 Dec22</t>
        </is>
      </c>
      <c r="C554" t="n">
        <v>12077.27</v>
      </c>
      <c r="D554" t="inlineStr">
        <is>
          <t>Credit</t>
        </is>
      </c>
      <c r="E554" t="inlineStr">
        <is>
          <t>Income</t>
        </is>
      </c>
      <c r="F554">
        <f>IF(E554="Income","Revenue",IF(OR(E554="Materials",E554="Labor",E554="Dump Fees"),"COGS",IF(OR(E554="Fuel",E554="Insurance",E554="Tools",E554="Repairs"),"Expense","Non-Deductible")))</f>
        <v/>
      </c>
      <c r="G554" t="inlineStr">
        <is>
          <t>Revenue</t>
        </is>
      </c>
      <c r="H554">
        <f>IF(G554&lt;&gt;F554,"YES","NO")</f>
        <v/>
      </c>
      <c r="I554" t="inlineStr"/>
      <c r="J554" t="inlineStr"/>
    </row>
    <row r="555">
      <c r="A555" s="5" t="n">
        <v>45994</v>
      </c>
      <c r="B555" t="inlineStr">
        <is>
          <t>Other Withdrawals - Electronic Withdrawal To DISCOVER</t>
        </is>
      </c>
      <c r="C555" t="n">
        <v>138.46</v>
      </c>
      <c r="D555" t="inlineStr">
        <is>
          <t>Debit</t>
        </is>
      </c>
      <c r="E555" t="inlineStr">
        <is>
          <t>Tools</t>
        </is>
      </c>
      <c r="F555">
        <f>IF(E555="Income","Revenue",IF(OR(E555="Materials",E555="Labor",E555="Dump Fees"),"COGS",IF(OR(E555="Fuel",E555="Insurance",E555="Tools",E555="Repairs"),"Expense","Non-Deductible")))</f>
        <v/>
      </c>
      <c r="G555" t="inlineStr">
        <is>
          <t>Expense</t>
        </is>
      </c>
      <c r="H555">
        <f>IF(G555&lt;&gt;F555,"YES","NO")</f>
        <v/>
      </c>
      <c r="I555" t="inlineStr"/>
      <c r="J555" t="inlineStr"/>
    </row>
    <row r="556">
      <c r="A556" s="5" t="n">
        <v>45994</v>
      </c>
      <c r="B556" t="inlineStr">
        <is>
          <t>Other Withdrawals - Electronic Withdrawal To MERCURY FBT $</t>
        </is>
      </c>
      <c r="C556" t="n">
        <v>33.3</v>
      </c>
      <c r="D556" t="inlineStr">
        <is>
          <t>Debit</t>
        </is>
      </c>
      <c r="E556" t="inlineStr">
        <is>
          <t>Tools</t>
        </is>
      </c>
      <c r="F556">
        <f>IF(E556="Income","Revenue",IF(OR(E556="Materials",E556="Labor",E556="Dump Fees"),"COGS",IF(OR(E556="Fuel",E556="Insurance",E556="Tools",E556="Repairs"),"Expense","Non-Deductible")))</f>
        <v/>
      </c>
      <c r="G556" t="inlineStr">
        <is>
          <t>Expense</t>
        </is>
      </c>
      <c r="H556">
        <f>IF(G556&lt;&gt;F556,"YES","NO")</f>
        <v/>
      </c>
      <c r="I556" t="inlineStr"/>
      <c r="J556" t="inlineStr"/>
    </row>
    <row r="557">
      <c r="A557" s="5" t="n">
        <v>45994</v>
      </c>
      <c r="B557" t="inlineStr">
        <is>
          <t>Other Withdrawals - Electronic Withdrawal To STATE FARM RO 27</t>
        </is>
      </c>
      <c r="C557" t="n">
        <v>294.97</v>
      </c>
      <c r="D557" t="inlineStr">
        <is>
          <t>Debit</t>
        </is>
      </c>
      <c r="E557" t="inlineStr">
        <is>
          <t>Insurance</t>
        </is>
      </c>
      <c r="F557">
        <f>IF(E557="Income","Revenue",IF(OR(E557="Materials",E557="Labor",E557="Dump Fees"),"COGS",IF(OR(E557="Fuel",E557="Insurance",E557="Tools",E557="Repairs"),"Expense","Non-Deductible")))</f>
        <v/>
      </c>
      <c r="G557" t="inlineStr">
        <is>
          <t>Expense</t>
        </is>
      </c>
      <c r="H557">
        <f>IF(G557&lt;&gt;F557,"YES","NO")</f>
        <v/>
      </c>
      <c r="I557" t="inlineStr"/>
      <c r="J557" t="inlineStr"/>
    </row>
    <row r="558">
      <c r="A558" s="5" t="n">
        <v>45995</v>
      </c>
      <c r="B558" t="inlineStr">
        <is>
          <t>Card Withdrawals - Debit Purchase - VISA On 120225 NEW ATHENS IL 7900013461</t>
        </is>
      </c>
      <c r="C558" t="n">
        <v>23.98</v>
      </c>
      <c r="D558" t="inlineStr">
        <is>
          <t>Debit</t>
        </is>
      </c>
      <c r="E558" t="inlineStr">
        <is>
          <t>Tools</t>
        </is>
      </c>
      <c r="F558">
        <f>IF(E558="Income","Revenue",IF(OR(E558="Materials",E558="Labor",E558="Dump Fees"),"COGS",IF(OR(E558="Fuel",E558="Insurance",E558="Tools",E558="Repairs"),"Expense","Non-Deductible")))</f>
        <v/>
      </c>
      <c r="G558" t="inlineStr">
        <is>
          <t>Expense</t>
        </is>
      </c>
      <c r="H558">
        <f>IF(G558&lt;&gt;F558,"YES","NO")</f>
        <v/>
      </c>
      <c r="I558" t="inlineStr"/>
      <c r="J558" t="inlineStr"/>
    </row>
    <row r="559">
      <c r="A559" s="5" t="n">
        <v>45995</v>
      </c>
      <c r="B559" t="inlineStr">
        <is>
          <t>Card Withdrawals - Debit Purchase CASEYS #3252 129 NEW ATHENS IL 5612031631</t>
        </is>
      </c>
      <c r="C559" t="n">
        <v>19.33</v>
      </c>
      <c r="D559" t="inlineStr">
        <is>
          <t>Debit</t>
        </is>
      </c>
      <c r="E559" t="inlineStr">
        <is>
          <t>Labor</t>
        </is>
      </c>
      <c r="F559">
        <f>IF(E559="Income","Revenue",IF(OR(E559="Materials",E559="Labor",E559="Dump Fees"),"COGS",IF(OR(E559="Fuel",E559="Insurance",E559="Tools",E559="Repairs"),"Expense","Non-Deductible")))</f>
        <v/>
      </c>
      <c r="G559" t="inlineStr">
        <is>
          <t>COGS</t>
        </is>
      </c>
      <c r="H559">
        <f>IF(G559&lt;&gt;F559,"YES","NO")</f>
        <v/>
      </c>
      <c r="I559" t="inlineStr"/>
      <c r="J559" t="inlineStr">
        <is>
          <t>Casey</t>
        </is>
      </c>
    </row>
    <row r="560">
      <c r="A560" s="5" t="n">
        <v>45995</v>
      </c>
      <c r="B560" t="inlineStr">
        <is>
          <t>Other Withdrawals - 9,675.25 Dec15 13,393.91 Dec24</t>
        </is>
      </c>
      <c r="C560" t="n">
        <v>9329.059999999999</v>
      </c>
      <c r="D560" t="inlineStr">
        <is>
          <t>Credit</t>
        </is>
      </c>
      <c r="E560" t="inlineStr">
        <is>
          <t>Income</t>
        </is>
      </c>
      <c r="F560">
        <f>IF(E560="Income","Revenue",IF(OR(E560="Materials",E560="Labor",E560="Dump Fees"),"COGS",IF(OR(E560="Fuel",E560="Insurance",E560="Tools",E560="Repairs"),"Expense","Non-Deductible")))</f>
        <v/>
      </c>
      <c r="G560" t="inlineStr">
        <is>
          <t>Revenue</t>
        </is>
      </c>
      <c r="H560">
        <f>IF(G560&lt;&gt;F560,"YES","NO")</f>
        <v/>
      </c>
      <c r="I560" t="inlineStr"/>
      <c r="J560" t="inlineStr"/>
    </row>
    <row r="561">
      <c r="A561" s="5" t="n">
        <v>45996</v>
      </c>
      <c r="B561" t="inlineStr">
        <is>
          <t>Card Withdrawals - Debit Purchase - VISA On 120325 NEW ATHENS IL 8900013599</t>
        </is>
      </c>
      <c r="C561" t="n">
        <v>37.34</v>
      </c>
      <c r="D561" t="inlineStr">
        <is>
          <t>Debit</t>
        </is>
      </c>
      <c r="E561" t="inlineStr">
        <is>
          <t>Tools</t>
        </is>
      </c>
      <c r="F561">
        <f>IF(E561="Income","Revenue",IF(OR(E561="Materials",E561="Labor",E561="Dump Fees"),"COGS",IF(OR(E561="Fuel",E561="Insurance",E561="Tools",E561="Repairs"),"Expense","Non-Deductible")))</f>
        <v/>
      </c>
      <c r="G561" t="inlineStr">
        <is>
          <t>Expense</t>
        </is>
      </c>
      <c r="H561">
        <f>IF(G561&lt;&gt;F561,"YES","NO")</f>
        <v/>
      </c>
      <c r="I561" t="inlineStr"/>
      <c r="J561" t="inlineStr"/>
    </row>
    <row r="562">
      <c r="A562" s="5" t="n">
        <v>45996</v>
      </c>
      <c r="B562" t="inlineStr">
        <is>
          <t>Card Withdrawals - Debit Purchase - VISA On 120425 FREEBURG IL 8570712070</t>
        </is>
      </c>
      <c r="C562" t="n">
        <v>19.78</v>
      </c>
      <c r="D562" t="inlineStr">
        <is>
          <t>Debit</t>
        </is>
      </c>
      <c r="E562" t="inlineStr">
        <is>
          <t>Tools</t>
        </is>
      </c>
      <c r="F562">
        <f>IF(E562="Income","Revenue",IF(OR(E562="Materials",E562="Labor",E562="Dump Fees"),"COGS",IF(OR(E562="Fuel",E562="Insurance",E562="Tools",E562="Repairs"),"Expense","Non-Deductible")))</f>
        <v/>
      </c>
      <c r="G562" t="inlineStr">
        <is>
          <t>Expense</t>
        </is>
      </c>
      <c r="H562">
        <f>IF(G562&lt;&gt;F562,"YES","NO")</f>
        <v/>
      </c>
      <c r="I562" t="inlineStr"/>
      <c r="J562" t="inlineStr"/>
    </row>
    <row r="563">
      <c r="A563" s="5" t="n">
        <v>45996</v>
      </c>
      <c r="B563" t="inlineStr">
        <is>
          <t>Other Withdrawals - 8,244.13 Dec16 12,351.45 Dec26</t>
        </is>
      </c>
      <c r="C563" t="n">
        <v>9129.059999999999</v>
      </c>
      <c r="D563" t="inlineStr">
        <is>
          <t>Credit</t>
        </is>
      </c>
      <c r="E563" t="inlineStr">
        <is>
          <t>Income</t>
        </is>
      </c>
      <c r="F563">
        <f>IF(E563="Income","Revenue",IF(OR(E563="Materials",E563="Labor",E563="Dump Fees"),"COGS",IF(OR(E563="Fuel",E563="Insurance",E563="Tools",E563="Repairs"),"Expense","Non-Deductible")))</f>
        <v/>
      </c>
      <c r="G563" t="inlineStr">
        <is>
          <t>Revenue</t>
        </is>
      </c>
      <c r="H563">
        <f>IF(G563&lt;&gt;F563,"YES","NO")</f>
        <v/>
      </c>
      <c r="I563" t="inlineStr"/>
      <c r="J563" t="inlineStr"/>
    </row>
    <row r="564">
      <c r="A564" s="5" t="n">
        <v>45996</v>
      </c>
      <c r="B564" t="inlineStr">
        <is>
          <t>Other Withdrawals - Zelle Instant PMT To Brian Davis</t>
        </is>
      </c>
      <c r="C564" t="n">
        <v>997</v>
      </c>
      <c r="D564" t="inlineStr">
        <is>
          <t>Debit</t>
        </is>
      </c>
      <c r="E564" t="inlineStr">
        <is>
          <t>Labor</t>
        </is>
      </c>
      <c r="F564">
        <f>IF(E564="Income","Revenue",IF(OR(E564="Materials",E564="Labor",E564="Dump Fees"),"COGS",IF(OR(E564="Fuel",E564="Insurance",E564="Tools",E564="Repairs"),"Expense","Non-Deductible")))</f>
        <v/>
      </c>
      <c r="G564" t="inlineStr">
        <is>
          <t>COGS</t>
        </is>
      </c>
      <c r="H564">
        <f>IF(G564&lt;&gt;F564,"YES","NO")</f>
        <v/>
      </c>
      <c r="I564" t="inlineStr"/>
      <c r="J564" t="inlineStr">
        <is>
          <t>Bryan</t>
        </is>
      </c>
    </row>
    <row r="565">
      <c r="A565" s="5" t="n">
        <v>45996</v>
      </c>
      <c r="B565" t="inlineStr">
        <is>
          <t>Other Withdrawals - Zelle Instant PMT To Casey Williamson</t>
        </is>
      </c>
      <c r="C565" t="n">
        <v>377</v>
      </c>
      <c r="D565" t="inlineStr">
        <is>
          <t>Debit</t>
        </is>
      </c>
      <c r="E565" t="inlineStr">
        <is>
          <t>Labor</t>
        </is>
      </c>
      <c r="F565">
        <f>IF(E565="Income","Revenue",IF(OR(E565="Materials",E565="Labor",E565="Dump Fees"),"COGS",IF(OR(E565="Fuel",E565="Insurance",E565="Tools",E565="Repairs"),"Expense","Non-Deductible")))</f>
        <v/>
      </c>
      <c r="G565" t="inlineStr">
        <is>
          <t>COGS</t>
        </is>
      </c>
      <c r="H565">
        <f>IF(G565&lt;&gt;F565,"YES","NO")</f>
        <v/>
      </c>
      <c r="I565" t="inlineStr"/>
      <c r="J565" t="inlineStr">
        <is>
          <t>Casey</t>
        </is>
      </c>
    </row>
    <row r="566">
      <c r="A566" s="5" t="n">
        <v>45999</v>
      </c>
      <c r="B566" t="inlineStr">
        <is>
          <t>Card Withdrawals - Debit Purchase - VISA On 120525 BELLEVILLE IL 9001117154</t>
        </is>
      </c>
      <c r="C566" t="n">
        <v>23.43</v>
      </c>
      <c r="D566" t="inlineStr">
        <is>
          <t>Debit</t>
        </is>
      </c>
      <c r="E566" t="inlineStr">
        <is>
          <t>Tools</t>
        </is>
      </c>
      <c r="F566">
        <f>IF(E566="Income","Revenue",IF(OR(E566="Materials",E566="Labor",E566="Dump Fees"),"COGS",IF(OR(E566="Fuel",E566="Insurance",E566="Tools",E566="Repairs"),"Expense","Non-Deductible")))</f>
        <v/>
      </c>
      <c r="G566" t="inlineStr">
        <is>
          <t>Expense</t>
        </is>
      </c>
      <c r="H566">
        <f>IF(G566&lt;&gt;F566,"YES","NO")</f>
        <v/>
      </c>
      <c r="I566" t="inlineStr"/>
      <c r="J566" t="inlineStr"/>
    </row>
    <row r="567">
      <c r="A567" s="5" t="n">
        <v>45999</v>
      </c>
      <c r="B567" t="inlineStr">
        <is>
          <t>Card Withdrawals - Debit Purchase - VISA On 120525 FREEBURG IL 9720255374</t>
        </is>
      </c>
      <c r="C567" t="n">
        <v>1.91</v>
      </c>
      <c r="D567" t="inlineStr">
        <is>
          <t>Debit</t>
        </is>
      </c>
      <c r="E567" t="inlineStr">
        <is>
          <t>Tools</t>
        </is>
      </c>
      <c r="F567">
        <f>IF(E567="Income","Revenue",IF(OR(E567="Materials",E567="Labor",E567="Dump Fees"),"COGS",IF(OR(E567="Fuel",E567="Insurance",E567="Tools",E567="Repairs"),"Expense","Non-Deductible")))</f>
        <v/>
      </c>
      <c r="G567" t="inlineStr">
        <is>
          <t>Expense</t>
        </is>
      </c>
      <c r="H567">
        <f>IF(G567&lt;&gt;F567,"YES","NO")</f>
        <v/>
      </c>
      <c r="I567" t="inlineStr"/>
      <c r="J567" t="inlineStr"/>
    </row>
    <row r="568">
      <c r="A568" s="5" t="n">
        <v>45999</v>
      </c>
      <c r="B568" t="inlineStr">
        <is>
          <t>Card Withdrawals - Debit Purchase - VISA On 120625 CARBONDALE IL 1133417204</t>
        </is>
      </c>
      <c r="C568" t="n">
        <v>131.68</v>
      </c>
      <c r="D568" t="inlineStr">
        <is>
          <t>Debit</t>
        </is>
      </c>
      <c r="E568" t="inlineStr">
        <is>
          <t>Tools</t>
        </is>
      </c>
      <c r="F568">
        <f>IF(E568="Income","Revenue",IF(OR(E568="Materials",E568="Labor",E568="Dump Fees"),"COGS",IF(OR(E568="Fuel",E568="Insurance",E568="Tools",E568="Repairs"),"Expense","Non-Deductible")))</f>
        <v/>
      </c>
      <c r="G568" t="inlineStr">
        <is>
          <t>Expense</t>
        </is>
      </c>
      <c r="H568">
        <f>IF(G568&lt;&gt;F568,"YES","NO")</f>
        <v/>
      </c>
      <c r="I568" t="inlineStr"/>
      <c r="J568" t="inlineStr"/>
    </row>
    <row r="569">
      <c r="A569" s="5" t="n">
        <v>45999</v>
      </c>
      <c r="B569" t="inlineStr">
        <is>
          <t>Card Withdrawals - Debit Purchase DOLLAR GENERAL # NEW ATHENS IL 0312051726</t>
        </is>
      </c>
      <c r="C569" t="n">
        <v>22.23</v>
      </c>
      <c r="D569" t="inlineStr">
        <is>
          <t>Debit</t>
        </is>
      </c>
      <c r="E569" t="inlineStr">
        <is>
          <t>Tools</t>
        </is>
      </c>
      <c r="F569">
        <f>IF(E569="Income","Revenue",IF(OR(E569="Materials",E569="Labor",E569="Dump Fees"),"COGS",IF(OR(E569="Fuel",E569="Insurance",E569="Tools",E569="Repairs"),"Expense","Non-Deductible")))</f>
        <v/>
      </c>
      <c r="G569" t="inlineStr">
        <is>
          <t>Expense</t>
        </is>
      </c>
      <c r="H569">
        <f>IF(G569&lt;&gt;F569,"YES","NO")</f>
        <v/>
      </c>
      <c r="I569" t="inlineStr"/>
      <c r="J569" t="inlineStr"/>
    </row>
    <row r="570">
      <c r="A570" s="5" t="n">
        <v>45999</v>
      </c>
      <c r="B570" t="inlineStr">
        <is>
          <t>Card Withdrawals - Debit Purchase NEW ATHENS MINI NEW ATHENS IL 5112051717</t>
        </is>
      </c>
      <c r="C570" t="n">
        <v>8.609999999999999</v>
      </c>
      <c r="D570" t="inlineStr">
        <is>
          <t>Debit</t>
        </is>
      </c>
      <c r="E570" t="inlineStr">
        <is>
          <t>Tools</t>
        </is>
      </c>
      <c r="F570">
        <f>IF(E570="Income","Revenue",IF(OR(E570="Materials",E570="Labor",E570="Dump Fees"),"COGS",IF(OR(E570="Fuel",E570="Insurance",E570="Tools",E570="Repairs"),"Expense","Non-Deductible")))</f>
        <v/>
      </c>
      <c r="G570" t="inlineStr">
        <is>
          <t>Expense</t>
        </is>
      </c>
      <c r="H570">
        <f>IF(G570&lt;&gt;F570,"YES","NO")</f>
        <v/>
      </c>
      <c r="I570" t="inlineStr"/>
      <c r="J570" t="inlineStr"/>
    </row>
    <row r="571">
      <c r="A571" s="5" t="n">
        <v>45999</v>
      </c>
      <c r="B571" t="inlineStr">
        <is>
          <t>Other Deposits - Mobile Check Deposit 8054580596 $</t>
        </is>
      </c>
      <c r="C571" t="n">
        <v>8930.68</v>
      </c>
      <c r="D571" t="inlineStr">
        <is>
          <t>Credit</t>
        </is>
      </c>
      <c r="E571" t="inlineStr">
        <is>
          <t>Income</t>
        </is>
      </c>
      <c r="F571">
        <f>IF(E571="Income","Revenue",IF(OR(E571="Materials",E571="Labor",E571="Dump Fees"),"COGS",IF(OR(E571="Fuel",E571="Insurance",E571="Tools",E571="Repairs"),"Expense","Non-Deductible")))</f>
        <v/>
      </c>
      <c r="G571" t="inlineStr">
        <is>
          <t>Revenue</t>
        </is>
      </c>
      <c r="H571">
        <f>IF(G571&lt;&gt;F571,"YES","NO")</f>
        <v/>
      </c>
      <c r="I571" t="inlineStr"/>
      <c r="J571" t="inlineStr"/>
    </row>
    <row r="572">
      <c r="A572" s="5" t="n">
        <v>45999</v>
      </c>
      <c r="B572" t="inlineStr">
        <is>
          <t>Other Withdrawals - 16,961.95 Dec17 14,791.93 Dec29</t>
        </is>
      </c>
      <c r="C572" t="n">
        <v>8781.34</v>
      </c>
      <c r="D572" t="inlineStr">
        <is>
          <t>Credit</t>
        </is>
      </c>
      <c r="E572" t="inlineStr">
        <is>
          <t>Income</t>
        </is>
      </c>
      <c r="F572">
        <f>IF(E572="Income","Revenue",IF(OR(E572="Materials",E572="Labor",E572="Dump Fees"),"COGS",IF(OR(E572="Fuel",E572="Insurance",E572="Tools",E572="Repairs"),"Expense","Non-Deductible")))</f>
        <v/>
      </c>
      <c r="G572" t="inlineStr">
        <is>
          <t>Revenue</t>
        </is>
      </c>
      <c r="H572">
        <f>IF(G572&lt;&gt;F572,"YES","NO")</f>
        <v/>
      </c>
      <c r="I572" t="inlineStr"/>
      <c r="J572" t="inlineStr"/>
    </row>
    <row r="573">
      <c r="A573" s="5" t="n">
        <v>45999</v>
      </c>
      <c r="B573" t="inlineStr">
        <is>
          <t>Other Withdrawals - Mobile Banking Transfer To Account 152316874980</t>
        </is>
      </c>
      <c r="C573" t="n">
        <v>25</v>
      </c>
      <c r="D573" t="inlineStr">
        <is>
          <t>Debit</t>
        </is>
      </c>
      <c r="E573" t="inlineStr">
        <is>
          <t>Transfer</t>
        </is>
      </c>
      <c r="F573">
        <f>IF(E573="Income","Revenue",IF(OR(E573="Materials",E573="Labor",E573="Dump Fees"),"COGS",IF(OR(E573="Fuel",E573="Insurance",E573="Tools",E573="Repairs"),"Expense","Non-Deductible")))</f>
        <v/>
      </c>
      <c r="G573" t="inlineStr">
        <is>
          <t>Non-Deductible</t>
        </is>
      </c>
      <c r="H573">
        <f>IF(G573&lt;&gt;F573,"YES","NO")</f>
        <v/>
      </c>
      <c r="I573" t="inlineStr"/>
      <c r="J573" t="inlineStr"/>
    </row>
    <row r="574">
      <c r="A574" s="5" t="n">
        <v>46000</v>
      </c>
      <c r="B574" t="inlineStr">
        <is>
          <t>Card Withdrawals - Debit Purchase SCHNUCKS MARKET COLUMBIA IL 2112081749</t>
        </is>
      </c>
      <c r="C574" t="n">
        <v>119.52</v>
      </c>
      <c r="D574" t="inlineStr">
        <is>
          <t>Debit</t>
        </is>
      </c>
      <c r="E574" t="inlineStr">
        <is>
          <t>Tools</t>
        </is>
      </c>
      <c r="F574">
        <f>IF(E574="Income","Revenue",IF(OR(E574="Materials",E574="Labor",E574="Dump Fees"),"COGS",IF(OR(E574="Fuel",E574="Insurance",E574="Tools",E574="Repairs"),"Expense","Non-Deductible")))</f>
        <v/>
      </c>
      <c r="G574" t="inlineStr">
        <is>
          <t>Expense</t>
        </is>
      </c>
      <c r="H574">
        <f>IF(G574&lt;&gt;F574,"YES","NO")</f>
        <v/>
      </c>
      <c r="I574" t="inlineStr"/>
      <c r="J574" t="inlineStr"/>
    </row>
    <row r="575">
      <c r="A575" s="5" t="n">
        <v>46000</v>
      </c>
      <c r="B575" t="inlineStr">
        <is>
          <t>Other Withdrawals - 16,642.43 Dec18 14,752.14 Dec31</t>
        </is>
      </c>
      <c r="C575" t="n">
        <v>8236.370000000001</v>
      </c>
      <c r="D575" t="inlineStr">
        <is>
          <t>Credit</t>
        </is>
      </c>
      <c r="E575" t="inlineStr">
        <is>
          <t>Income</t>
        </is>
      </c>
      <c r="F575">
        <f>IF(E575="Income","Revenue",IF(OR(E575="Materials",E575="Labor",E575="Dump Fees"),"COGS",IF(OR(E575="Fuel",E575="Insurance",E575="Tools",E575="Repairs"),"Expense","Non-Deductible")))</f>
        <v/>
      </c>
      <c r="G575" t="inlineStr">
        <is>
          <t>Revenue</t>
        </is>
      </c>
      <c r="H575">
        <f>IF(G575&lt;&gt;F575,"YES","NO")</f>
        <v/>
      </c>
      <c r="I575" t="inlineStr"/>
      <c r="J575" t="inlineStr"/>
    </row>
    <row r="576">
      <c r="A576" s="5" t="n">
        <v>46000</v>
      </c>
      <c r="B576" t="inlineStr">
        <is>
          <t>Other Withdrawals - Mobile Banking Transfer To Account 152316875235</t>
        </is>
      </c>
      <c r="C576" t="n">
        <v>200</v>
      </c>
      <c r="D576" t="inlineStr">
        <is>
          <t>Debit</t>
        </is>
      </c>
      <c r="E576" t="inlineStr">
        <is>
          <t>Transfer</t>
        </is>
      </c>
      <c r="F576">
        <f>IF(E576="Income","Revenue",IF(OR(E576="Materials",E576="Labor",E576="Dump Fees"),"COGS",IF(OR(E576="Fuel",E576="Insurance",E576="Tools",E576="Repairs"),"Expense","Non-Deductible")))</f>
        <v/>
      </c>
      <c r="G576" t="inlineStr">
        <is>
          <t>Non-Deductible</t>
        </is>
      </c>
      <c r="H576">
        <f>IF(G576&lt;&gt;F576,"YES","NO")</f>
        <v/>
      </c>
      <c r="I576" t="inlineStr"/>
      <c r="J576" t="inlineStr"/>
    </row>
  </sheetData>
  <conditionalFormatting sqref="A2:J2">
    <cfRule type="expression" priority="1" dxfId="0">
      <formula>$H2="YES"</formula>
    </cfRule>
  </conditionalFormatting>
  <conditionalFormatting sqref="A3:J3">
    <cfRule type="expression" priority="2" dxfId="0">
      <formula>$H3="YES"</formula>
    </cfRule>
  </conditionalFormatting>
  <conditionalFormatting sqref="A4:J4">
    <cfRule type="expression" priority="3" dxfId="0">
      <formula>$H4="YES"</formula>
    </cfRule>
  </conditionalFormatting>
  <conditionalFormatting sqref="A5:J5">
    <cfRule type="expression" priority="4" dxfId="0">
      <formula>$H5="YES"</formula>
    </cfRule>
  </conditionalFormatting>
  <conditionalFormatting sqref="A6:J6">
    <cfRule type="expression" priority="5" dxfId="0">
      <formula>$H6="YES"</formula>
    </cfRule>
  </conditionalFormatting>
  <conditionalFormatting sqref="A7:J7">
    <cfRule type="expression" priority="6" dxfId="0">
      <formula>$H7="YES"</formula>
    </cfRule>
  </conditionalFormatting>
  <conditionalFormatting sqref="A8:J8">
    <cfRule type="expression" priority="7" dxfId="0">
      <formula>$H8="YES"</formula>
    </cfRule>
  </conditionalFormatting>
  <conditionalFormatting sqref="A9:J9">
    <cfRule type="expression" priority="8" dxfId="0">
      <formula>$H9="YES"</formula>
    </cfRule>
  </conditionalFormatting>
  <conditionalFormatting sqref="A10:J10">
    <cfRule type="expression" priority="9" dxfId="0">
      <formula>$H10="YES"</formula>
    </cfRule>
  </conditionalFormatting>
  <conditionalFormatting sqref="A11:J11">
    <cfRule type="expression" priority="10" dxfId="0">
      <formula>$H11="YES"</formula>
    </cfRule>
  </conditionalFormatting>
  <conditionalFormatting sqref="A12:J12">
    <cfRule type="expression" priority="11" dxfId="0">
      <formula>$H12="YES"</formula>
    </cfRule>
  </conditionalFormatting>
  <conditionalFormatting sqref="A13:J13">
    <cfRule type="expression" priority="12" dxfId="0">
      <formula>$H13="YES"</formula>
    </cfRule>
  </conditionalFormatting>
  <conditionalFormatting sqref="A14:J14">
    <cfRule type="expression" priority="13" dxfId="0">
      <formula>$H14="YES"</formula>
    </cfRule>
  </conditionalFormatting>
  <conditionalFormatting sqref="A15:J15">
    <cfRule type="expression" priority="14" dxfId="0">
      <formula>$H15="YES"</formula>
    </cfRule>
  </conditionalFormatting>
  <conditionalFormatting sqref="A16:J16">
    <cfRule type="expression" priority="15" dxfId="0">
      <formula>$H16="YES"</formula>
    </cfRule>
  </conditionalFormatting>
  <conditionalFormatting sqref="A17:J17">
    <cfRule type="expression" priority="16" dxfId="0">
      <formula>$H17="YES"</formula>
    </cfRule>
  </conditionalFormatting>
  <conditionalFormatting sqref="A18:J18">
    <cfRule type="expression" priority="17" dxfId="0">
      <formula>$H18="YES"</formula>
    </cfRule>
  </conditionalFormatting>
  <conditionalFormatting sqref="A19:J19">
    <cfRule type="expression" priority="18" dxfId="0">
      <formula>$H19="YES"</formula>
    </cfRule>
  </conditionalFormatting>
  <conditionalFormatting sqref="A20:J20">
    <cfRule type="expression" priority="19" dxfId="0">
      <formula>$H20="YES"</formula>
    </cfRule>
  </conditionalFormatting>
  <conditionalFormatting sqref="A21:J21">
    <cfRule type="expression" priority="20" dxfId="0">
      <formula>$H21="YES"</formula>
    </cfRule>
  </conditionalFormatting>
  <conditionalFormatting sqref="A22:J22">
    <cfRule type="expression" priority="21" dxfId="0">
      <formula>$H22="YES"</formula>
    </cfRule>
  </conditionalFormatting>
  <conditionalFormatting sqref="A23:J23">
    <cfRule type="expression" priority="22" dxfId="0">
      <formula>$H23="YES"</formula>
    </cfRule>
  </conditionalFormatting>
  <conditionalFormatting sqref="A24:J24">
    <cfRule type="expression" priority="23" dxfId="0">
      <formula>$H24="YES"</formula>
    </cfRule>
  </conditionalFormatting>
  <conditionalFormatting sqref="A25:J25">
    <cfRule type="expression" priority="24" dxfId="0">
      <formula>$H25="YES"</formula>
    </cfRule>
  </conditionalFormatting>
  <conditionalFormatting sqref="A26:J26">
    <cfRule type="expression" priority="25" dxfId="0">
      <formula>$H26="YES"</formula>
    </cfRule>
  </conditionalFormatting>
  <conditionalFormatting sqref="A27:J27">
    <cfRule type="expression" priority="26" dxfId="0">
      <formula>$H27="YES"</formula>
    </cfRule>
  </conditionalFormatting>
  <conditionalFormatting sqref="A28:J28">
    <cfRule type="expression" priority="27" dxfId="0">
      <formula>$H28="YES"</formula>
    </cfRule>
  </conditionalFormatting>
  <conditionalFormatting sqref="A29:J29">
    <cfRule type="expression" priority="28" dxfId="0">
      <formula>$H29="YES"</formula>
    </cfRule>
  </conditionalFormatting>
  <conditionalFormatting sqref="A30:J30">
    <cfRule type="expression" priority="29" dxfId="0">
      <formula>$H30="YES"</formula>
    </cfRule>
  </conditionalFormatting>
  <conditionalFormatting sqref="A31:J31">
    <cfRule type="expression" priority="30" dxfId="0">
      <formula>$H31="YES"</formula>
    </cfRule>
  </conditionalFormatting>
  <conditionalFormatting sqref="A32:J32">
    <cfRule type="expression" priority="31" dxfId="0">
      <formula>$H32="YES"</formula>
    </cfRule>
  </conditionalFormatting>
  <conditionalFormatting sqref="A33:J33">
    <cfRule type="expression" priority="32" dxfId="0">
      <formula>$H33="YES"</formula>
    </cfRule>
  </conditionalFormatting>
  <conditionalFormatting sqref="A34:J34">
    <cfRule type="expression" priority="33" dxfId="0">
      <formula>$H34="YES"</formula>
    </cfRule>
  </conditionalFormatting>
  <conditionalFormatting sqref="A35:J35">
    <cfRule type="expression" priority="34" dxfId="0">
      <formula>$H35="YES"</formula>
    </cfRule>
  </conditionalFormatting>
  <conditionalFormatting sqref="A36:J36">
    <cfRule type="expression" priority="35" dxfId="0">
      <formula>$H36="YES"</formula>
    </cfRule>
  </conditionalFormatting>
  <conditionalFormatting sqref="A37:J37">
    <cfRule type="expression" priority="36" dxfId="0">
      <formula>$H37="YES"</formula>
    </cfRule>
  </conditionalFormatting>
  <conditionalFormatting sqref="A38:J38">
    <cfRule type="expression" priority="37" dxfId="0">
      <formula>$H38="YES"</formula>
    </cfRule>
  </conditionalFormatting>
  <conditionalFormatting sqref="A39:J39">
    <cfRule type="expression" priority="38" dxfId="0">
      <formula>$H39="YES"</formula>
    </cfRule>
  </conditionalFormatting>
  <conditionalFormatting sqref="A40:J40">
    <cfRule type="expression" priority="39" dxfId="0">
      <formula>$H40="YES"</formula>
    </cfRule>
  </conditionalFormatting>
  <conditionalFormatting sqref="A41:J41">
    <cfRule type="expression" priority="40" dxfId="0">
      <formula>$H41="YES"</formula>
    </cfRule>
  </conditionalFormatting>
  <conditionalFormatting sqref="A42:J42">
    <cfRule type="expression" priority="41" dxfId="0">
      <formula>$H42="YES"</formula>
    </cfRule>
  </conditionalFormatting>
  <conditionalFormatting sqref="A43:J43">
    <cfRule type="expression" priority="42" dxfId="0">
      <formula>$H43="YES"</formula>
    </cfRule>
  </conditionalFormatting>
  <conditionalFormatting sqref="A44:J44">
    <cfRule type="expression" priority="43" dxfId="0">
      <formula>$H44="YES"</formula>
    </cfRule>
  </conditionalFormatting>
  <conditionalFormatting sqref="A45:J45">
    <cfRule type="expression" priority="44" dxfId="0">
      <formula>$H45="YES"</formula>
    </cfRule>
  </conditionalFormatting>
  <conditionalFormatting sqref="A46:J46">
    <cfRule type="expression" priority="45" dxfId="0">
      <formula>$H46="YES"</formula>
    </cfRule>
  </conditionalFormatting>
  <conditionalFormatting sqref="A47:J47">
    <cfRule type="expression" priority="46" dxfId="0">
      <formula>$H47="YES"</formula>
    </cfRule>
  </conditionalFormatting>
  <conditionalFormatting sqref="A48:J48">
    <cfRule type="expression" priority="47" dxfId="0">
      <formula>$H48="YES"</formula>
    </cfRule>
  </conditionalFormatting>
  <conditionalFormatting sqref="A49:J49">
    <cfRule type="expression" priority="48" dxfId="0">
      <formula>$H49="YES"</formula>
    </cfRule>
  </conditionalFormatting>
  <conditionalFormatting sqref="A50:J50">
    <cfRule type="expression" priority="49" dxfId="0">
      <formula>$H50="YES"</formula>
    </cfRule>
  </conditionalFormatting>
  <conditionalFormatting sqref="A51:J51">
    <cfRule type="expression" priority="50" dxfId="0">
      <formula>$H51="YES"</formula>
    </cfRule>
  </conditionalFormatting>
  <conditionalFormatting sqref="A52:J52">
    <cfRule type="expression" priority="51" dxfId="0">
      <formula>$H52="YES"</formula>
    </cfRule>
  </conditionalFormatting>
  <conditionalFormatting sqref="A53:J53">
    <cfRule type="expression" priority="52" dxfId="0">
      <formula>$H53="YES"</formula>
    </cfRule>
  </conditionalFormatting>
  <conditionalFormatting sqref="A54:J54">
    <cfRule type="expression" priority="53" dxfId="0">
      <formula>$H54="YES"</formula>
    </cfRule>
  </conditionalFormatting>
  <conditionalFormatting sqref="A55:J55">
    <cfRule type="expression" priority="54" dxfId="0">
      <formula>$H55="YES"</formula>
    </cfRule>
  </conditionalFormatting>
  <conditionalFormatting sqref="A56:J56">
    <cfRule type="expression" priority="55" dxfId="0">
      <formula>$H56="YES"</formula>
    </cfRule>
  </conditionalFormatting>
  <conditionalFormatting sqref="A57:J57">
    <cfRule type="expression" priority="56" dxfId="0">
      <formula>$H57="YES"</formula>
    </cfRule>
  </conditionalFormatting>
  <conditionalFormatting sqref="A58:J58">
    <cfRule type="expression" priority="57" dxfId="0">
      <formula>$H58="YES"</formula>
    </cfRule>
  </conditionalFormatting>
  <conditionalFormatting sqref="A59:J59">
    <cfRule type="expression" priority="58" dxfId="0">
      <formula>$H59="YES"</formula>
    </cfRule>
  </conditionalFormatting>
  <conditionalFormatting sqref="A60:J60">
    <cfRule type="expression" priority="59" dxfId="0">
      <formula>$H60="YES"</formula>
    </cfRule>
  </conditionalFormatting>
  <conditionalFormatting sqref="A61:J61">
    <cfRule type="expression" priority="60" dxfId="0">
      <formula>$H61="YES"</formula>
    </cfRule>
  </conditionalFormatting>
  <conditionalFormatting sqref="A62:J62">
    <cfRule type="expression" priority="61" dxfId="0">
      <formula>$H62="YES"</formula>
    </cfRule>
  </conditionalFormatting>
  <conditionalFormatting sqref="A63:J63">
    <cfRule type="expression" priority="62" dxfId="0">
      <formula>$H63="YES"</formula>
    </cfRule>
  </conditionalFormatting>
  <conditionalFormatting sqref="A64:J64">
    <cfRule type="expression" priority="63" dxfId="0">
      <formula>$H64="YES"</formula>
    </cfRule>
  </conditionalFormatting>
  <conditionalFormatting sqref="A65:J65">
    <cfRule type="expression" priority="64" dxfId="0">
      <formula>$H65="YES"</formula>
    </cfRule>
  </conditionalFormatting>
  <conditionalFormatting sqref="A66:J66">
    <cfRule type="expression" priority="65" dxfId="0">
      <formula>$H66="YES"</formula>
    </cfRule>
  </conditionalFormatting>
  <conditionalFormatting sqref="A67:J67">
    <cfRule type="expression" priority="66" dxfId="0">
      <formula>$H67="YES"</formula>
    </cfRule>
  </conditionalFormatting>
  <conditionalFormatting sqref="A68:J68">
    <cfRule type="expression" priority="67" dxfId="0">
      <formula>$H68="YES"</formula>
    </cfRule>
  </conditionalFormatting>
  <conditionalFormatting sqref="A69:J69">
    <cfRule type="expression" priority="68" dxfId="0">
      <formula>$H69="YES"</formula>
    </cfRule>
  </conditionalFormatting>
  <conditionalFormatting sqref="A70:J70">
    <cfRule type="expression" priority="69" dxfId="0">
      <formula>$H70="YES"</formula>
    </cfRule>
  </conditionalFormatting>
  <conditionalFormatting sqref="A71:J71">
    <cfRule type="expression" priority="70" dxfId="0">
      <formula>$H71="YES"</formula>
    </cfRule>
  </conditionalFormatting>
  <conditionalFormatting sqref="A72:J72">
    <cfRule type="expression" priority="71" dxfId="0">
      <formula>$H72="YES"</formula>
    </cfRule>
  </conditionalFormatting>
  <conditionalFormatting sqref="A73:J73">
    <cfRule type="expression" priority="72" dxfId="0">
      <formula>$H73="YES"</formula>
    </cfRule>
  </conditionalFormatting>
  <conditionalFormatting sqref="A74:J74">
    <cfRule type="expression" priority="73" dxfId="0">
      <formula>$H74="YES"</formula>
    </cfRule>
  </conditionalFormatting>
  <conditionalFormatting sqref="A75:J75">
    <cfRule type="expression" priority="74" dxfId="0">
      <formula>$H75="YES"</formula>
    </cfRule>
  </conditionalFormatting>
  <conditionalFormatting sqref="A76:J76">
    <cfRule type="expression" priority="75" dxfId="0">
      <formula>$H76="YES"</formula>
    </cfRule>
  </conditionalFormatting>
  <conditionalFormatting sqref="A77:J77">
    <cfRule type="expression" priority="76" dxfId="0">
      <formula>$H77="YES"</formula>
    </cfRule>
  </conditionalFormatting>
  <conditionalFormatting sqref="A78:J78">
    <cfRule type="expression" priority="77" dxfId="0">
      <formula>$H78="YES"</formula>
    </cfRule>
  </conditionalFormatting>
  <conditionalFormatting sqref="A79:J79">
    <cfRule type="expression" priority="78" dxfId="0">
      <formula>$H79="YES"</formula>
    </cfRule>
  </conditionalFormatting>
  <conditionalFormatting sqref="A80:J80">
    <cfRule type="expression" priority="79" dxfId="0">
      <formula>$H80="YES"</formula>
    </cfRule>
  </conditionalFormatting>
  <conditionalFormatting sqref="A81:J81">
    <cfRule type="expression" priority="80" dxfId="0">
      <formula>$H81="YES"</formula>
    </cfRule>
  </conditionalFormatting>
  <conditionalFormatting sqref="A82:J82">
    <cfRule type="expression" priority="81" dxfId="0">
      <formula>$H82="YES"</formula>
    </cfRule>
  </conditionalFormatting>
  <conditionalFormatting sqref="A83:J83">
    <cfRule type="expression" priority="82" dxfId="0">
      <formula>$H83="YES"</formula>
    </cfRule>
  </conditionalFormatting>
  <conditionalFormatting sqref="A84:J84">
    <cfRule type="expression" priority="83" dxfId="0">
      <formula>$H84="YES"</formula>
    </cfRule>
  </conditionalFormatting>
  <conditionalFormatting sqref="A85:J85">
    <cfRule type="expression" priority="84" dxfId="0">
      <formula>$H85="YES"</formula>
    </cfRule>
  </conditionalFormatting>
  <conditionalFormatting sqref="A86:J86">
    <cfRule type="expression" priority="85" dxfId="0">
      <formula>$H86="YES"</formula>
    </cfRule>
  </conditionalFormatting>
  <conditionalFormatting sqref="A87:J87">
    <cfRule type="expression" priority="86" dxfId="0">
      <formula>$H87="YES"</formula>
    </cfRule>
  </conditionalFormatting>
  <conditionalFormatting sqref="A88:J88">
    <cfRule type="expression" priority="87" dxfId="0">
      <formula>$H88="YES"</formula>
    </cfRule>
  </conditionalFormatting>
  <conditionalFormatting sqref="A89:J89">
    <cfRule type="expression" priority="88" dxfId="0">
      <formula>$H89="YES"</formula>
    </cfRule>
  </conditionalFormatting>
  <conditionalFormatting sqref="A90:J90">
    <cfRule type="expression" priority="89" dxfId="0">
      <formula>$H90="YES"</formula>
    </cfRule>
  </conditionalFormatting>
  <conditionalFormatting sqref="A91:J91">
    <cfRule type="expression" priority="90" dxfId="0">
      <formula>$H91="YES"</formula>
    </cfRule>
  </conditionalFormatting>
  <conditionalFormatting sqref="A92:J92">
    <cfRule type="expression" priority="91" dxfId="0">
      <formula>$H92="YES"</formula>
    </cfRule>
  </conditionalFormatting>
  <conditionalFormatting sqref="A93:J93">
    <cfRule type="expression" priority="92" dxfId="0">
      <formula>$H93="YES"</formula>
    </cfRule>
  </conditionalFormatting>
  <conditionalFormatting sqref="A94:J94">
    <cfRule type="expression" priority="93" dxfId="0">
      <formula>$H94="YES"</formula>
    </cfRule>
  </conditionalFormatting>
  <conditionalFormatting sqref="A95:J95">
    <cfRule type="expression" priority="94" dxfId="0">
      <formula>$H95="YES"</formula>
    </cfRule>
  </conditionalFormatting>
  <conditionalFormatting sqref="A96:J96">
    <cfRule type="expression" priority="95" dxfId="0">
      <formula>$H96="YES"</formula>
    </cfRule>
  </conditionalFormatting>
  <conditionalFormatting sqref="A97:J97">
    <cfRule type="expression" priority="96" dxfId="0">
      <formula>$H97="YES"</formula>
    </cfRule>
  </conditionalFormatting>
  <conditionalFormatting sqref="A98:J98">
    <cfRule type="expression" priority="97" dxfId="0">
      <formula>$H98="YES"</formula>
    </cfRule>
  </conditionalFormatting>
  <conditionalFormatting sqref="A99:J99">
    <cfRule type="expression" priority="98" dxfId="0">
      <formula>$H99="YES"</formula>
    </cfRule>
  </conditionalFormatting>
  <conditionalFormatting sqref="A100:J100">
    <cfRule type="expression" priority="99" dxfId="0">
      <formula>$H100="YES"</formula>
    </cfRule>
  </conditionalFormatting>
  <conditionalFormatting sqref="A101:J101">
    <cfRule type="expression" priority="100" dxfId="0">
      <formula>$H101="YES"</formula>
    </cfRule>
  </conditionalFormatting>
  <conditionalFormatting sqref="A102:J102">
    <cfRule type="expression" priority="101" dxfId="0">
      <formula>$H102="YES"</formula>
    </cfRule>
  </conditionalFormatting>
  <conditionalFormatting sqref="A103:J103">
    <cfRule type="expression" priority="102" dxfId="0">
      <formula>$H103="YES"</formula>
    </cfRule>
  </conditionalFormatting>
  <conditionalFormatting sqref="A104:J104">
    <cfRule type="expression" priority="103" dxfId="0">
      <formula>$H104="YES"</formula>
    </cfRule>
  </conditionalFormatting>
  <conditionalFormatting sqref="A105:J105">
    <cfRule type="expression" priority="104" dxfId="0">
      <formula>$H105="YES"</formula>
    </cfRule>
  </conditionalFormatting>
  <conditionalFormatting sqref="A106:J106">
    <cfRule type="expression" priority="105" dxfId="0">
      <formula>$H106="YES"</formula>
    </cfRule>
  </conditionalFormatting>
  <conditionalFormatting sqref="A107:J107">
    <cfRule type="expression" priority="106" dxfId="0">
      <formula>$H107="YES"</formula>
    </cfRule>
  </conditionalFormatting>
  <conditionalFormatting sqref="A108:J108">
    <cfRule type="expression" priority="107" dxfId="0">
      <formula>$H108="YES"</formula>
    </cfRule>
  </conditionalFormatting>
  <conditionalFormatting sqref="A109:J109">
    <cfRule type="expression" priority="108" dxfId="0">
      <formula>$H109="YES"</formula>
    </cfRule>
  </conditionalFormatting>
  <conditionalFormatting sqref="A110:J110">
    <cfRule type="expression" priority="109" dxfId="0">
      <formula>$H110="YES"</formula>
    </cfRule>
  </conditionalFormatting>
  <conditionalFormatting sqref="A111:J111">
    <cfRule type="expression" priority="110" dxfId="0">
      <formula>$H111="YES"</formula>
    </cfRule>
  </conditionalFormatting>
  <conditionalFormatting sqref="A112:J112">
    <cfRule type="expression" priority="111" dxfId="0">
      <formula>$H112="YES"</formula>
    </cfRule>
  </conditionalFormatting>
  <conditionalFormatting sqref="A113:J113">
    <cfRule type="expression" priority="112" dxfId="0">
      <formula>$H113="YES"</formula>
    </cfRule>
  </conditionalFormatting>
  <conditionalFormatting sqref="A114:J114">
    <cfRule type="expression" priority="113" dxfId="0">
      <formula>$H114="YES"</formula>
    </cfRule>
  </conditionalFormatting>
  <conditionalFormatting sqref="A115:J115">
    <cfRule type="expression" priority="114" dxfId="0">
      <formula>$H115="YES"</formula>
    </cfRule>
  </conditionalFormatting>
  <conditionalFormatting sqref="A116:J116">
    <cfRule type="expression" priority="115" dxfId="0">
      <formula>$H116="YES"</formula>
    </cfRule>
  </conditionalFormatting>
  <conditionalFormatting sqref="A117:J117">
    <cfRule type="expression" priority="116" dxfId="0">
      <formula>$H117="YES"</formula>
    </cfRule>
  </conditionalFormatting>
  <conditionalFormatting sqref="A118:J118">
    <cfRule type="expression" priority="117" dxfId="0">
      <formula>$H118="YES"</formula>
    </cfRule>
  </conditionalFormatting>
  <conditionalFormatting sqref="A119:J119">
    <cfRule type="expression" priority="118" dxfId="0">
      <formula>$H119="YES"</formula>
    </cfRule>
  </conditionalFormatting>
  <conditionalFormatting sqref="A120:J120">
    <cfRule type="expression" priority="119" dxfId="0">
      <formula>$H120="YES"</formula>
    </cfRule>
  </conditionalFormatting>
  <conditionalFormatting sqref="A121:J121">
    <cfRule type="expression" priority="120" dxfId="0">
      <formula>$H121="YES"</formula>
    </cfRule>
  </conditionalFormatting>
  <conditionalFormatting sqref="A122:J122">
    <cfRule type="expression" priority="121" dxfId="0">
      <formula>$H122="YES"</formula>
    </cfRule>
  </conditionalFormatting>
  <conditionalFormatting sqref="A123:J123">
    <cfRule type="expression" priority="122" dxfId="0">
      <formula>$H123="YES"</formula>
    </cfRule>
  </conditionalFormatting>
  <conditionalFormatting sqref="A124:J124">
    <cfRule type="expression" priority="123" dxfId="0">
      <formula>$H124="YES"</formula>
    </cfRule>
  </conditionalFormatting>
  <conditionalFormatting sqref="A125:J125">
    <cfRule type="expression" priority="124" dxfId="0">
      <formula>$H125="YES"</formula>
    </cfRule>
  </conditionalFormatting>
  <conditionalFormatting sqref="A126:J126">
    <cfRule type="expression" priority="125" dxfId="0">
      <formula>$H126="YES"</formula>
    </cfRule>
  </conditionalFormatting>
  <conditionalFormatting sqref="A127:J127">
    <cfRule type="expression" priority="126" dxfId="0">
      <formula>$H127="YES"</formula>
    </cfRule>
  </conditionalFormatting>
  <conditionalFormatting sqref="A128:J128">
    <cfRule type="expression" priority="127" dxfId="0">
      <formula>$H128="YES"</formula>
    </cfRule>
  </conditionalFormatting>
  <conditionalFormatting sqref="A129:J129">
    <cfRule type="expression" priority="128" dxfId="0">
      <formula>$H129="YES"</formula>
    </cfRule>
  </conditionalFormatting>
  <conditionalFormatting sqref="A130:J130">
    <cfRule type="expression" priority="129" dxfId="0">
      <formula>$H130="YES"</formula>
    </cfRule>
  </conditionalFormatting>
  <conditionalFormatting sqref="A131:J131">
    <cfRule type="expression" priority="130" dxfId="0">
      <formula>$H131="YES"</formula>
    </cfRule>
  </conditionalFormatting>
  <conditionalFormatting sqref="A132:J132">
    <cfRule type="expression" priority="131" dxfId="0">
      <formula>$H132="YES"</formula>
    </cfRule>
  </conditionalFormatting>
  <conditionalFormatting sqref="A133:J133">
    <cfRule type="expression" priority="132" dxfId="0">
      <formula>$H133="YES"</formula>
    </cfRule>
  </conditionalFormatting>
  <conditionalFormatting sqref="A134:J134">
    <cfRule type="expression" priority="133" dxfId="0">
      <formula>$H134="YES"</formula>
    </cfRule>
  </conditionalFormatting>
  <conditionalFormatting sqref="A135:J135">
    <cfRule type="expression" priority="134" dxfId="0">
      <formula>$H135="YES"</formula>
    </cfRule>
  </conditionalFormatting>
  <conditionalFormatting sqref="A136:J136">
    <cfRule type="expression" priority="135" dxfId="0">
      <formula>$H136="YES"</formula>
    </cfRule>
  </conditionalFormatting>
  <conditionalFormatting sqref="A137:J137">
    <cfRule type="expression" priority="136" dxfId="0">
      <formula>$H137="YES"</formula>
    </cfRule>
  </conditionalFormatting>
  <conditionalFormatting sqref="A138:J138">
    <cfRule type="expression" priority="137" dxfId="0">
      <formula>$H138="YES"</formula>
    </cfRule>
  </conditionalFormatting>
  <conditionalFormatting sqref="A139:J139">
    <cfRule type="expression" priority="138" dxfId="0">
      <formula>$H139="YES"</formula>
    </cfRule>
  </conditionalFormatting>
  <conditionalFormatting sqref="A140:J140">
    <cfRule type="expression" priority="139" dxfId="0">
      <formula>$H140="YES"</formula>
    </cfRule>
  </conditionalFormatting>
  <conditionalFormatting sqref="A141:J141">
    <cfRule type="expression" priority="140" dxfId="0">
      <formula>$H141="YES"</formula>
    </cfRule>
  </conditionalFormatting>
  <conditionalFormatting sqref="A142:J142">
    <cfRule type="expression" priority="141" dxfId="0">
      <formula>$H142="YES"</formula>
    </cfRule>
  </conditionalFormatting>
  <conditionalFormatting sqref="A143:J143">
    <cfRule type="expression" priority="142" dxfId="0">
      <formula>$H143="YES"</formula>
    </cfRule>
  </conditionalFormatting>
  <conditionalFormatting sqref="A144:J144">
    <cfRule type="expression" priority="143" dxfId="0">
      <formula>$H144="YES"</formula>
    </cfRule>
  </conditionalFormatting>
  <conditionalFormatting sqref="A145:J145">
    <cfRule type="expression" priority="144" dxfId="0">
      <formula>$H145="YES"</formula>
    </cfRule>
  </conditionalFormatting>
  <conditionalFormatting sqref="A146:J146">
    <cfRule type="expression" priority="145" dxfId="0">
      <formula>$H146="YES"</formula>
    </cfRule>
  </conditionalFormatting>
  <conditionalFormatting sqref="A147:J147">
    <cfRule type="expression" priority="146" dxfId="0">
      <formula>$H147="YES"</formula>
    </cfRule>
  </conditionalFormatting>
  <conditionalFormatting sqref="A148:J148">
    <cfRule type="expression" priority="147" dxfId="0">
      <formula>$H148="YES"</formula>
    </cfRule>
  </conditionalFormatting>
  <conditionalFormatting sqref="A149:J149">
    <cfRule type="expression" priority="148" dxfId="0">
      <formula>$H149="YES"</formula>
    </cfRule>
  </conditionalFormatting>
  <conditionalFormatting sqref="A150:J150">
    <cfRule type="expression" priority="149" dxfId="0">
      <formula>$H150="YES"</formula>
    </cfRule>
  </conditionalFormatting>
  <conditionalFormatting sqref="A151:J151">
    <cfRule type="expression" priority="150" dxfId="0">
      <formula>$H151="YES"</formula>
    </cfRule>
  </conditionalFormatting>
  <conditionalFormatting sqref="A152:J152">
    <cfRule type="expression" priority="151" dxfId="0">
      <formula>$H152="YES"</formula>
    </cfRule>
  </conditionalFormatting>
  <conditionalFormatting sqref="A153:J153">
    <cfRule type="expression" priority="152" dxfId="0">
      <formula>$H153="YES"</formula>
    </cfRule>
  </conditionalFormatting>
  <conditionalFormatting sqref="A154:J154">
    <cfRule type="expression" priority="153" dxfId="0">
      <formula>$H154="YES"</formula>
    </cfRule>
  </conditionalFormatting>
  <conditionalFormatting sqref="A155:J155">
    <cfRule type="expression" priority="154" dxfId="0">
      <formula>$H155="YES"</formula>
    </cfRule>
  </conditionalFormatting>
  <conditionalFormatting sqref="A156:J156">
    <cfRule type="expression" priority="155" dxfId="0">
      <formula>$H156="YES"</formula>
    </cfRule>
  </conditionalFormatting>
  <conditionalFormatting sqref="A157:J157">
    <cfRule type="expression" priority="156" dxfId="0">
      <formula>$H157="YES"</formula>
    </cfRule>
  </conditionalFormatting>
  <conditionalFormatting sqref="A158:J158">
    <cfRule type="expression" priority="157" dxfId="0">
      <formula>$H158="YES"</formula>
    </cfRule>
  </conditionalFormatting>
  <conditionalFormatting sqref="A159:J159">
    <cfRule type="expression" priority="158" dxfId="0">
      <formula>$H159="YES"</formula>
    </cfRule>
  </conditionalFormatting>
  <conditionalFormatting sqref="A160:J160">
    <cfRule type="expression" priority="159" dxfId="0">
      <formula>$H160="YES"</formula>
    </cfRule>
  </conditionalFormatting>
  <conditionalFormatting sqref="A161:J161">
    <cfRule type="expression" priority="160" dxfId="0">
      <formula>$H161="YES"</formula>
    </cfRule>
  </conditionalFormatting>
  <conditionalFormatting sqref="A162:J162">
    <cfRule type="expression" priority="161" dxfId="0">
      <formula>$H162="YES"</formula>
    </cfRule>
  </conditionalFormatting>
  <conditionalFormatting sqref="A163:J163">
    <cfRule type="expression" priority="162" dxfId="0">
      <formula>$H163="YES"</formula>
    </cfRule>
  </conditionalFormatting>
  <conditionalFormatting sqref="A164:J164">
    <cfRule type="expression" priority="163" dxfId="0">
      <formula>$H164="YES"</formula>
    </cfRule>
  </conditionalFormatting>
  <conditionalFormatting sqref="A165:J165">
    <cfRule type="expression" priority="164" dxfId="0">
      <formula>$H165="YES"</formula>
    </cfRule>
  </conditionalFormatting>
  <conditionalFormatting sqref="A166:J166">
    <cfRule type="expression" priority="165" dxfId="0">
      <formula>$H166="YES"</formula>
    </cfRule>
  </conditionalFormatting>
  <conditionalFormatting sqref="A167:J167">
    <cfRule type="expression" priority="166" dxfId="0">
      <formula>$H167="YES"</formula>
    </cfRule>
  </conditionalFormatting>
  <conditionalFormatting sqref="A168:J168">
    <cfRule type="expression" priority="167" dxfId="0">
      <formula>$H168="YES"</formula>
    </cfRule>
  </conditionalFormatting>
  <conditionalFormatting sqref="A169:J169">
    <cfRule type="expression" priority="168" dxfId="0">
      <formula>$H169="YES"</formula>
    </cfRule>
  </conditionalFormatting>
  <conditionalFormatting sqref="A170:J170">
    <cfRule type="expression" priority="169" dxfId="0">
      <formula>$H170="YES"</formula>
    </cfRule>
  </conditionalFormatting>
  <conditionalFormatting sqref="A171:J171">
    <cfRule type="expression" priority="170" dxfId="0">
      <formula>$H171="YES"</formula>
    </cfRule>
  </conditionalFormatting>
  <conditionalFormatting sqref="A172:J172">
    <cfRule type="expression" priority="171" dxfId="0">
      <formula>$H172="YES"</formula>
    </cfRule>
  </conditionalFormatting>
  <conditionalFormatting sqref="A173:J173">
    <cfRule type="expression" priority="172" dxfId="0">
      <formula>$H173="YES"</formula>
    </cfRule>
  </conditionalFormatting>
  <conditionalFormatting sqref="A174:J174">
    <cfRule type="expression" priority="173" dxfId="0">
      <formula>$H174="YES"</formula>
    </cfRule>
  </conditionalFormatting>
  <conditionalFormatting sqref="A175:J175">
    <cfRule type="expression" priority="174" dxfId="0">
      <formula>$H175="YES"</formula>
    </cfRule>
  </conditionalFormatting>
  <conditionalFormatting sqref="A176:J176">
    <cfRule type="expression" priority="175" dxfId="0">
      <formula>$H176="YES"</formula>
    </cfRule>
  </conditionalFormatting>
  <conditionalFormatting sqref="A177:J177">
    <cfRule type="expression" priority="176" dxfId="0">
      <formula>$H177="YES"</formula>
    </cfRule>
  </conditionalFormatting>
  <conditionalFormatting sqref="A178:J178">
    <cfRule type="expression" priority="177" dxfId="0">
      <formula>$H178="YES"</formula>
    </cfRule>
  </conditionalFormatting>
  <conditionalFormatting sqref="A179:J179">
    <cfRule type="expression" priority="178" dxfId="0">
      <formula>$H179="YES"</formula>
    </cfRule>
  </conditionalFormatting>
  <conditionalFormatting sqref="A180:J180">
    <cfRule type="expression" priority="179" dxfId="0">
      <formula>$H180="YES"</formula>
    </cfRule>
  </conditionalFormatting>
  <conditionalFormatting sqref="A181:J181">
    <cfRule type="expression" priority="180" dxfId="0">
      <formula>$H181="YES"</formula>
    </cfRule>
  </conditionalFormatting>
  <conditionalFormatting sqref="A182:J182">
    <cfRule type="expression" priority="181" dxfId="0">
      <formula>$H182="YES"</formula>
    </cfRule>
  </conditionalFormatting>
  <conditionalFormatting sqref="A183:J183">
    <cfRule type="expression" priority="182" dxfId="0">
      <formula>$H183="YES"</formula>
    </cfRule>
  </conditionalFormatting>
  <conditionalFormatting sqref="A184:J184">
    <cfRule type="expression" priority="183" dxfId="0">
      <formula>$H184="YES"</formula>
    </cfRule>
  </conditionalFormatting>
  <conditionalFormatting sqref="A185:J185">
    <cfRule type="expression" priority="184" dxfId="0">
      <formula>$H185="YES"</formula>
    </cfRule>
  </conditionalFormatting>
  <conditionalFormatting sqref="A186:J186">
    <cfRule type="expression" priority="185" dxfId="0">
      <formula>$H186="YES"</formula>
    </cfRule>
  </conditionalFormatting>
  <conditionalFormatting sqref="A187:J187">
    <cfRule type="expression" priority="186" dxfId="0">
      <formula>$H187="YES"</formula>
    </cfRule>
  </conditionalFormatting>
  <conditionalFormatting sqref="A188:J188">
    <cfRule type="expression" priority="187" dxfId="0">
      <formula>$H188="YES"</formula>
    </cfRule>
  </conditionalFormatting>
  <conditionalFormatting sqref="A189:J189">
    <cfRule type="expression" priority="188" dxfId="0">
      <formula>$H189="YES"</formula>
    </cfRule>
  </conditionalFormatting>
  <conditionalFormatting sqref="A190:J190">
    <cfRule type="expression" priority="189" dxfId="0">
      <formula>$H190="YES"</formula>
    </cfRule>
  </conditionalFormatting>
  <conditionalFormatting sqref="A191:J191">
    <cfRule type="expression" priority="190" dxfId="0">
      <formula>$H191="YES"</formula>
    </cfRule>
  </conditionalFormatting>
  <conditionalFormatting sqref="A192:J192">
    <cfRule type="expression" priority="191" dxfId="0">
      <formula>$H192="YES"</formula>
    </cfRule>
  </conditionalFormatting>
  <conditionalFormatting sqref="A193:J193">
    <cfRule type="expression" priority="192" dxfId="0">
      <formula>$H193="YES"</formula>
    </cfRule>
  </conditionalFormatting>
  <conditionalFormatting sqref="A194:J194">
    <cfRule type="expression" priority="193" dxfId="0">
      <formula>$H194="YES"</formula>
    </cfRule>
  </conditionalFormatting>
  <conditionalFormatting sqref="A195:J195">
    <cfRule type="expression" priority="194" dxfId="0">
      <formula>$H195="YES"</formula>
    </cfRule>
  </conditionalFormatting>
  <conditionalFormatting sqref="A196:J196">
    <cfRule type="expression" priority="195" dxfId="0">
      <formula>$H196="YES"</formula>
    </cfRule>
  </conditionalFormatting>
  <conditionalFormatting sqref="A197:J197">
    <cfRule type="expression" priority="196" dxfId="0">
      <formula>$H197="YES"</formula>
    </cfRule>
  </conditionalFormatting>
  <conditionalFormatting sqref="A198:J198">
    <cfRule type="expression" priority="197" dxfId="0">
      <formula>$H198="YES"</formula>
    </cfRule>
  </conditionalFormatting>
  <conditionalFormatting sqref="A199:J199">
    <cfRule type="expression" priority="198" dxfId="0">
      <formula>$H199="YES"</formula>
    </cfRule>
  </conditionalFormatting>
  <conditionalFormatting sqref="A200:J200">
    <cfRule type="expression" priority="199" dxfId="0">
      <formula>$H200="YES"</formula>
    </cfRule>
  </conditionalFormatting>
  <conditionalFormatting sqref="A201:J201">
    <cfRule type="expression" priority="200" dxfId="0">
      <formula>$H201="YES"</formula>
    </cfRule>
  </conditionalFormatting>
  <conditionalFormatting sqref="A202:J202">
    <cfRule type="expression" priority="201" dxfId="0">
      <formula>$H202="YES"</formula>
    </cfRule>
  </conditionalFormatting>
  <conditionalFormatting sqref="A203:J203">
    <cfRule type="expression" priority="202" dxfId="0">
      <formula>$H203="YES"</formula>
    </cfRule>
  </conditionalFormatting>
  <conditionalFormatting sqref="A204:J204">
    <cfRule type="expression" priority="203" dxfId="0">
      <formula>$H204="YES"</formula>
    </cfRule>
  </conditionalFormatting>
  <conditionalFormatting sqref="A205:J205">
    <cfRule type="expression" priority="204" dxfId="0">
      <formula>$H205="YES"</formula>
    </cfRule>
  </conditionalFormatting>
  <conditionalFormatting sqref="A206:J206">
    <cfRule type="expression" priority="205" dxfId="0">
      <formula>$H206="YES"</formula>
    </cfRule>
  </conditionalFormatting>
  <conditionalFormatting sqref="A207:J207">
    <cfRule type="expression" priority="206" dxfId="0">
      <formula>$H207="YES"</formula>
    </cfRule>
  </conditionalFormatting>
  <conditionalFormatting sqref="A208:J208">
    <cfRule type="expression" priority="207" dxfId="0">
      <formula>$H208="YES"</formula>
    </cfRule>
  </conditionalFormatting>
  <conditionalFormatting sqref="A209:J209">
    <cfRule type="expression" priority="208" dxfId="0">
      <formula>$H209="YES"</formula>
    </cfRule>
  </conditionalFormatting>
  <conditionalFormatting sqref="A210:J210">
    <cfRule type="expression" priority="209" dxfId="0">
      <formula>$H210="YES"</formula>
    </cfRule>
  </conditionalFormatting>
  <conditionalFormatting sqref="A211:J211">
    <cfRule type="expression" priority="210" dxfId="0">
      <formula>$H211="YES"</formula>
    </cfRule>
  </conditionalFormatting>
  <conditionalFormatting sqref="A212:J212">
    <cfRule type="expression" priority="211" dxfId="0">
      <formula>$H212="YES"</formula>
    </cfRule>
  </conditionalFormatting>
  <conditionalFormatting sqref="A213:J213">
    <cfRule type="expression" priority="212" dxfId="0">
      <formula>$H213="YES"</formula>
    </cfRule>
  </conditionalFormatting>
  <conditionalFormatting sqref="A214:J214">
    <cfRule type="expression" priority="213" dxfId="0">
      <formula>$H214="YES"</formula>
    </cfRule>
  </conditionalFormatting>
  <conditionalFormatting sqref="A215:J215">
    <cfRule type="expression" priority="214" dxfId="0">
      <formula>$H215="YES"</formula>
    </cfRule>
  </conditionalFormatting>
  <conditionalFormatting sqref="A216:J216">
    <cfRule type="expression" priority="215" dxfId="0">
      <formula>$H216="YES"</formula>
    </cfRule>
  </conditionalFormatting>
  <conditionalFormatting sqref="A217:J217">
    <cfRule type="expression" priority="216" dxfId="0">
      <formula>$H217="YES"</formula>
    </cfRule>
  </conditionalFormatting>
  <conditionalFormatting sqref="A218:J218">
    <cfRule type="expression" priority="217" dxfId="0">
      <formula>$H218="YES"</formula>
    </cfRule>
  </conditionalFormatting>
  <conditionalFormatting sqref="A219:J219">
    <cfRule type="expression" priority="218" dxfId="0">
      <formula>$H219="YES"</formula>
    </cfRule>
  </conditionalFormatting>
  <conditionalFormatting sqref="A220:J220">
    <cfRule type="expression" priority="219" dxfId="0">
      <formula>$H220="YES"</formula>
    </cfRule>
  </conditionalFormatting>
  <conditionalFormatting sqref="A221:J221">
    <cfRule type="expression" priority="220" dxfId="0">
      <formula>$H221="YES"</formula>
    </cfRule>
  </conditionalFormatting>
  <conditionalFormatting sqref="A222:J222">
    <cfRule type="expression" priority="221" dxfId="0">
      <formula>$H222="YES"</formula>
    </cfRule>
  </conditionalFormatting>
  <conditionalFormatting sqref="A223:J223">
    <cfRule type="expression" priority="222" dxfId="0">
      <formula>$H223="YES"</formula>
    </cfRule>
  </conditionalFormatting>
  <conditionalFormatting sqref="A224:J224">
    <cfRule type="expression" priority="223" dxfId="0">
      <formula>$H224="YES"</formula>
    </cfRule>
  </conditionalFormatting>
  <conditionalFormatting sqref="A225:J225">
    <cfRule type="expression" priority="224" dxfId="0">
      <formula>$H225="YES"</formula>
    </cfRule>
  </conditionalFormatting>
  <conditionalFormatting sqref="A226:J226">
    <cfRule type="expression" priority="225" dxfId="0">
      <formula>$H226="YES"</formula>
    </cfRule>
  </conditionalFormatting>
  <conditionalFormatting sqref="A227:J227">
    <cfRule type="expression" priority="226" dxfId="0">
      <formula>$H227="YES"</formula>
    </cfRule>
  </conditionalFormatting>
  <conditionalFormatting sqref="A228:J228">
    <cfRule type="expression" priority="227" dxfId="0">
      <formula>$H228="YES"</formula>
    </cfRule>
  </conditionalFormatting>
  <conditionalFormatting sqref="A229:J229">
    <cfRule type="expression" priority="228" dxfId="0">
      <formula>$H229="YES"</formula>
    </cfRule>
  </conditionalFormatting>
  <conditionalFormatting sqref="A230:J230">
    <cfRule type="expression" priority="229" dxfId="0">
      <formula>$H230="YES"</formula>
    </cfRule>
  </conditionalFormatting>
  <conditionalFormatting sqref="A231:J231">
    <cfRule type="expression" priority="230" dxfId="0">
      <formula>$H231="YES"</formula>
    </cfRule>
  </conditionalFormatting>
  <conditionalFormatting sqref="A232:J232">
    <cfRule type="expression" priority="231" dxfId="0">
      <formula>$H232="YES"</formula>
    </cfRule>
  </conditionalFormatting>
  <conditionalFormatting sqref="A233:J233">
    <cfRule type="expression" priority="232" dxfId="0">
      <formula>$H233="YES"</formula>
    </cfRule>
  </conditionalFormatting>
  <conditionalFormatting sqref="A234:J234">
    <cfRule type="expression" priority="233" dxfId="0">
      <formula>$H234="YES"</formula>
    </cfRule>
  </conditionalFormatting>
  <conditionalFormatting sqref="A235:J235">
    <cfRule type="expression" priority="234" dxfId="0">
      <formula>$H235="YES"</formula>
    </cfRule>
  </conditionalFormatting>
  <conditionalFormatting sqref="A236:J236">
    <cfRule type="expression" priority="235" dxfId="0">
      <formula>$H236="YES"</formula>
    </cfRule>
  </conditionalFormatting>
  <conditionalFormatting sqref="A237:J237">
    <cfRule type="expression" priority="236" dxfId="0">
      <formula>$H237="YES"</formula>
    </cfRule>
  </conditionalFormatting>
  <conditionalFormatting sqref="A238:J238">
    <cfRule type="expression" priority="237" dxfId="0">
      <formula>$H238="YES"</formula>
    </cfRule>
  </conditionalFormatting>
  <conditionalFormatting sqref="A239:J239">
    <cfRule type="expression" priority="238" dxfId="0">
      <formula>$H239="YES"</formula>
    </cfRule>
  </conditionalFormatting>
  <conditionalFormatting sqref="A240:J240">
    <cfRule type="expression" priority="239" dxfId="0">
      <formula>$H240="YES"</formula>
    </cfRule>
  </conditionalFormatting>
  <conditionalFormatting sqref="A241:J241">
    <cfRule type="expression" priority="240" dxfId="0">
      <formula>$H241="YES"</formula>
    </cfRule>
  </conditionalFormatting>
  <conditionalFormatting sqref="A242:J242">
    <cfRule type="expression" priority="241" dxfId="0">
      <formula>$H242="YES"</formula>
    </cfRule>
  </conditionalFormatting>
  <conditionalFormatting sqref="A243:J243">
    <cfRule type="expression" priority="242" dxfId="0">
      <formula>$H243="YES"</formula>
    </cfRule>
  </conditionalFormatting>
  <conditionalFormatting sqref="A244:J244">
    <cfRule type="expression" priority="243" dxfId="0">
      <formula>$H244="YES"</formula>
    </cfRule>
  </conditionalFormatting>
  <conditionalFormatting sqref="A245:J245">
    <cfRule type="expression" priority="244" dxfId="0">
      <formula>$H245="YES"</formula>
    </cfRule>
  </conditionalFormatting>
  <conditionalFormatting sqref="A246:J246">
    <cfRule type="expression" priority="245" dxfId="0">
      <formula>$H246="YES"</formula>
    </cfRule>
  </conditionalFormatting>
  <conditionalFormatting sqref="A247:J247">
    <cfRule type="expression" priority="246" dxfId="0">
      <formula>$H247="YES"</formula>
    </cfRule>
  </conditionalFormatting>
  <conditionalFormatting sqref="A248:J248">
    <cfRule type="expression" priority="247" dxfId="0">
      <formula>$H248="YES"</formula>
    </cfRule>
  </conditionalFormatting>
  <conditionalFormatting sqref="A249:J249">
    <cfRule type="expression" priority="248" dxfId="0">
      <formula>$H249="YES"</formula>
    </cfRule>
  </conditionalFormatting>
  <conditionalFormatting sqref="A250:J250">
    <cfRule type="expression" priority="249" dxfId="0">
      <formula>$H250="YES"</formula>
    </cfRule>
  </conditionalFormatting>
  <conditionalFormatting sqref="A251:J251">
    <cfRule type="expression" priority="250" dxfId="0">
      <formula>$H251="YES"</formula>
    </cfRule>
  </conditionalFormatting>
  <conditionalFormatting sqref="A252:J252">
    <cfRule type="expression" priority="251" dxfId="0">
      <formula>$H252="YES"</formula>
    </cfRule>
  </conditionalFormatting>
  <conditionalFormatting sqref="A253:J253">
    <cfRule type="expression" priority="252" dxfId="0">
      <formula>$H253="YES"</formula>
    </cfRule>
  </conditionalFormatting>
  <conditionalFormatting sqref="A254:J254">
    <cfRule type="expression" priority="253" dxfId="0">
      <formula>$H254="YES"</formula>
    </cfRule>
  </conditionalFormatting>
  <conditionalFormatting sqref="A255:J255">
    <cfRule type="expression" priority="254" dxfId="0">
      <formula>$H255="YES"</formula>
    </cfRule>
  </conditionalFormatting>
  <conditionalFormatting sqref="A256:J256">
    <cfRule type="expression" priority="255" dxfId="0">
      <formula>$H256="YES"</formula>
    </cfRule>
  </conditionalFormatting>
  <conditionalFormatting sqref="A257:J257">
    <cfRule type="expression" priority="256" dxfId="0">
      <formula>$H257="YES"</formula>
    </cfRule>
  </conditionalFormatting>
  <conditionalFormatting sqref="A258:J258">
    <cfRule type="expression" priority="257" dxfId="0">
      <formula>$H258="YES"</formula>
    </cfRule>
  </conditionalFormatting>
  <conditionalFormatting sqref="A259:J259">
    <cfRule type="expression" priority="258" dxfId="0">
      <formula>$H259="YES"</formula>
    </cfRule>
  </conditionalFormatting>
  <conditionalFormatting sqref="A260:J260">
    <cfRule type="expression" priority="259" dxfId="0">
      <formula>$H260="YES"</formula>
    </cfRule>
  </conditionalFormatting>
  <conditionalFormatting sqref="A261:J261">
    <cfRule type="expression" priority="260" dxfId="0">
      <formula>$H261="YES"</formula>
    </cfRule>
  </conditionalFormatting>
  <conditionalFormatting sqref="A262:J262">
    <cfRule type="expression" priority="261" dxfId="0">
      <formula>$H262="YES"</formula>
    </cfRule>
  </conditionalFormatting>
  <conditionalFormatting sqref="A263:J263">
    <cfRule type="expression" priority="262" dxfId="0">
      <formula>$H263="YES"</formula>
    </cfRule>
  </conditionalFormatting>
  <conditionalFormatting sqref="A264:J264">
    <cfRule type="expression" priority="263" dxfId="0">
      <formula>$H264="YES"</formula>
    </cfRule>
  </conditionalFormatting>
  <conditionalFormatting sqref="A265:J265">
    <cfRule type="expression" priority="264" dxfId="0">
      <formula>$H265="YES"</formula>
    </cfRule>
  </conditionalFormatting>
  <conditionalFormatting sqref="A266:J266">
    <cfRule type="expression" priority="265" dxfId="0">
      <formula>$H266="YES"</formula>
    </cfRule>
  </conditionalFormatting>
  <conditionalFormatting sqref="A267:J267">
    <cfRule type="expression" priority="266" dxfId="0">
      <formula>$H267="YES"</formula>
    </cfRule>
  </conditionalFormatting>
  <conditionalFormatting sqref="A268:J268">
    <cfRule type="expression" priority="267" dxfId="0">
      <formula>$H268="YES"</formula>
    </cfRule>
  </conditionalFormatting>
  <conditionalFormatting sqref="A269:J269">
    <cfRule type="expression" priority="268" dxfId="0">
      <formula>$H269="YES"</formula>
    </cfRule>
  </conditionalFormatting>
  <conditionalFormatting sqref="A270:J270">
    <cfRule type="expression" priority="269" dxfId="0">
      <formula>$H270="YES"</formula>
    </cfRule>
  </conditionalFormatting>
  <conditionalFormatting sqref="A271:J271">
    <cfRule type="expression" priority="270" dxfId="0">
      <formula>$H271="YES"</formula>
    </cfRule>
  </conditionalFormatting>
  <conditionalFormatting sqref="A272:J272">
    <cfRule type="expression" priority="271" dxfId="0">
      <formula>$H272="YES"</formula>
    </cfRule>
  </conditionalFormatting>
  <conditionalFormatting sqref="A273:J273">
    <cfRule type="expression" priority="272" dxfId="0">
      <formula>$H273="YES"</formula>
    </cfRule>
  </conditionalFormatting>
  <conditionalFormatting sqref="A274:J274">
    <cfRule type="expression" priority="273" dxfId="0">
      <formula>$H274="YES"</formula>
    </cfRule>
  </conditionalFormatting>
  <conditionalFormatting sqref="A275:J275">
    <cfRule type="expression" priority="274" dxfId="0">
      <formula>$H275="YES"</formula>
    </cfRule>
  </conditionalFormatting>
  <conditionalFormatting sqref="A276:J276">
    <cfRule type="expression" priority="275" dxfId="0">
      <formula>$H276="YES"</formula>
    </cfRule>
  </conditionalFormatting>
  <conditionalFormatting sqref="A277:J277">
    <cfRule type="expression" priority="276" dxfId="0">
      <formula>$H277="YES"</formula>
    </cfRule>
  </conditionalFormatting>
  <conditionalFormatting sqref="A278:J278">
    <cfRule type="expression" priority="277" dxfId="0">
      <formula>$H278="YES"</formula>
    </cfRule>
  </conditionalFormatting>
  <conditionalFormatting sqref="A279:J279">
    <cfRule type="expression" priority="278" dxfId="0">
      <formula>$H279="YES"</formula>
    </cfRule>
  </conditionalFormatting>
  <conditionalFormatting sqref="A280:J280">
    <cfRule type="expression" priority="279" dxfId="0">
      <formula>$H280="YES"</formula>
    </cfRule>
  </conditionalFormatting>
  <conditionalFormatting sqref="A281:J281">
    <cfRule type="expression" priority="280" dxfId="0">
      <formula>$H281="YES"</formula>
    </cfRule>
  </conditionalFormatting>
  <conditionalFormatting sqref="A282:J282">
    <cfRule type="expression" priority="281" dxfId="0">
      <formula>$H282="YES"</formula>
    </cfRule>
  </conditionalFormatting>
  <conditionalFormatting sqref="A283:J283">
    <cfRule type="expression" priority="282" dxfId="0">
      <formula>$H283="YES"</formula>
    </cfRule>
  </conditionalFormatting>
  <conditionalFormatting sqref="A284:J284">
    <cfRule type="expression" priority="283" dxfId="0">
      <formula>$H284="YES"</formula>
    </cfRule>
  </conditionalFormatting>
  <conditionalFormatting sqref="A285:J285">
    <cfRule type="expression" priority="284" dxfId="0">
      <formula>$H285="YES"</formula>
    </cfRule>
  </conditionalFormatting>
  <conditionalFormatting sqref="A286:J286">
    <cfRule type="expression" priority="285" dxfId="0">
      <formula>$H286="YES"</formula>
    </cfRule>
  </conditionalFormatting>
  <conditionalFormatting sqref="A287:J287">
    <cfRule type="expression" priority="286" dxfId="0">
      <formula>$H287="YES"</formula>
    </cfRule>
  </conditionalFormatting>
  <conditionalFormatting sqref="A288:J288">
    <cfRule type="expression" priority="287" dxfId="0">
      <formula>$H288="YES"</formula>
    </cfRule>
  </conditionalFormatting>
  <conditionalFormatting sqref="A289:J289">
    <cfRule type="expression" priority="288" dxfId="0">
      <formula>$H289="YES"</formula>
    </cfRule>
  </conditionalFormatting>
  <conditionalFormatting sqref="A290:J290">
    <cfRule type="expression" priority="289" dxfId="0">
      <formula>$H290="YES"</formula>
    </cfRule>
  </conditionalFormatting>
  <conditionalFormatting sqref="A291:J291">
    <cfRule type="expression" priority="290" dxfId="0">
      <formula>$H291="YES"</formula>
    </cfRule>
  </conditionalFormatting>
  <conditionalFormatting sqref="A292:J292">
    <cfRule type="expression" priority="291" dxfId="0">
      <formula>$H292="YES"</formula>
    </cfRule>
  </conditionalFormatting>
  <conditionalFormatting sqref="A293:J293">
    <cfRule type="expression" priority="292" dxfId="0">
      <formula>$H293="YES"</formula>
    </cfRule>
  </conditionalFormatting>
  <conditionalFormatting sqref="A294:J294">
    <cfRule type="expression" priority="293" dxfId="0">
      <formula>$H294="YES"</formula>
    </cfRule>
  </conditionalFormatting>
  <conditionalFormatting sqref="A295:J295">
    <cfRule type="expression" priority="294" dxfId="0">
      <formula>$H295="YES"</formula>
    </cfRule>
  </conditionalFormatting>
  <conditionalFormatting sqref="A296:J296">
    <cfRule type="expression" priority="295" dxfId="0">
      <formula>$H296="YES"</formula>
    </cfRule>
  </conditionalFormatting>
  <conditionalFormatting sqref="A297:J297">
    <cfRule type="expression" priority="296" dxfId="0">
      <formula>$H297="YES"</formula>
    </cfRule>
  </conditionalFormatting>
  <conditionalFormatting sqref="A298:J298">
    <cfRule type="expression" priority="297" dxfId="0">
      <formula>$H298="YES"</formula>
    </cfRule>
  </conditionalFormatting>
  <conditionalFormatting sqref="A299:J299">
    <cfRule type="expression" priority="298" dxfId="0">
      <formula>$H299="YES"</formula>
    </cfRule>
  </conditionalFormatting>
  <conditionalFormatting sqref="A300:J300">
    <cfRule type="expression" priority="299" dxfId="0">
      <formula>$H300="YES"</formula>
    </cfRule>
  </conditionalFormatting>
  <conditionalFormatting sqref="A301:J301">
    <cfRule type="expression" priority="300" dxfId="0">
      <formula>$H301="YES"</formula>
    </cfRule>
  </conditionalFormatting>
  <conditionalFormatting sqref="A302:J302">
    <cfRule type="expression" priority="301" dxfId="0">
      <formula>$H302="YES"</formula>
    </cfRule>
  </conditionalFormatting>
  <conditionalFormatting sqref="A303:J303">
    <cfRule type="expression" priority="302" dxfId="0">
      <formula>$H303="YES"</formula>
    </cfRule>
  </conditionalFormatting>
  <conditionalFormatting sqref="A304:J304">
    <cfRule type="expression" priority="303" dxfId="0">
      <formula>$H304="YES"</formula>
    </cfRule>
  </conditionalFormatting>
  <conditionalFormatting sqref="A305:J305">
    <cfRule type="expression" priority="304" dxfId="0">
      <formula>$H305="YES"</formula>
    </cfRule>
  </conditionalFormatting>
  <conditionalFormatting sqref="A306:J306">
    <cfRule type="expression" priority="305" dxfId="0">
      <formula>$H306="YES"</formula>
    </cfRule>
  </conditionalFormatting>
  <conditionalFormatting sqref="A307:J307">
    <cfRule type="expression" priority="306" dxfId="0">
      <formula>$H307="YES"</formula>
    </cfRule>
  </conditionalFormatting>
  <conditionalFormatting sqref="A308:J308">
    <cfRule type="expression" priority="307" dxfId="0">
      <formula>$H308="YES"</formula>
    </cfRule>
  </conditionalFormatting>
  <conditionalFormatting sqref="A309:J309">
    <cfRule type="expression" priority="308" dxfId="0">
      <formula>$H309="YES"</formula>
    </cfRule>
  </conditionalFormatting>
  <conditionalFormatting sqref="A310:J310">
    <cfRule type="expression" priority="309" dxfId="0">
      <formula>$H310="YES"</formula>
    </cfRule>
  </conditionalFormatting>
  <conditionalFormatting sqref="A311:J311">
    <cfRule type="expression" priority="310" dxfId="0">
      <formula>$H311="YES"</formula>
    </cfRule>
  </conditionalFormatting>
  <conditionalFormatting sqref="A312:J312">
    <cfRule type="expression" priority="311" dxfId="0">
      <formula>$H312="YES"</formula>
    </cfRule>
  </conditionalFormatting>
  <conditionalFormatting sqref="A313:J313">
    <cfRule type="expression" priority="312" dxfId="0">
      <formula>$H313="YES"</formula>
    </cfRule>
  </conditionalFormatting>
  <conditionalFormatting sqref="A314:J314">
    <cfRule type="expression" priority="313" dxfId="0">
      <formula>$H314="YES"</formula>
    </cfRule>
  </conditionalFormatting>
  <conditionalFormatting sqref="A315:J315">
    <cfRule type="expression" priority="314" dxfId="0">
      <formula>$H315="YES"</formula>
    </cfRule>
  </conditionalFormatting>
  <conditionalFormatting sqref="A316:J316">
    <cfRule type="expression" priority="315" dxfId="0">
      <formula>$H316="YES"</formula>
    </cfRule>
  </conditionalFormatting>
  <conditionalFormatting sqref="A317:J317">
    <cfRule type="expression" priority="316" dxfId="0">
      <formula>$H317="YES"</formula>
    </cfRule>
  </conditionalFormatting>
  <conditionalFormatting sqref="A318:J318">
    <cfRule type="expression" priority="317" dxfId="0">
      <formula>$H318="YES"</formula>
    </cfRule>
  </conditionalFormatting>
  <conditionalFormatting sqref="A319:J319">
    <cfRule type="expression" priority="318" dxfId="0">
      <formula>$H319="YES"</formula>
    </cfRule>
  </conditionalFormatting>
  <conditionalFormatting sqref="A320:J320">
    <cfRule type="expression" priority="319" dxfId="0">
      <formula>$H320="YES"</formula>
    </cfRule>
  </conditionalFormatting>
  <conditionalFormatting sqref="A321:J321">
    <cfRule type="expression" priority="320" dxfId="0">
      <formula>$H321="YES"</formula>
    </cfRule>
  </conditionalFormatting>
  <conditionalFormatting sqref="A322:J322">
    <cfRule type="expression" priority="321" dxfId="0">
      <formula>$H322="YES"</formula>
    </cfRule>
  </conditionalFormatting>
  <conditionalFormatting sqref="A323:J323">
    <cfRule type="expression" priority="322" dxfId="0">
      <formula>$H323="YES"</formula>
    </cfRule>
  </conditionalFormatting>
  <conditionalFormatting sqref="A324:J324">
    <cfRule type="expression" priority="323" dxfId="0">
      <formula>$H324="YES"</formula>
    </cfRule>
  </conditionalFormatting>
  <conditionalFormatting sqref="A325:J325">
    <cfRule type="expression" priority="324" dxfId="0">
      <formula>$H325="YES"</formula>
    </cfRule>
  </conditionalFormatting>
  <conditionalFormatting sqref="A326:J326">
    <cfRule type="expression" priority="325" dxfId="0">
      <formula>$H326="YES"</formula>
    </cfRule>
  </conditionalFormatting>
  <conditionalFormatting sqref="A327:J327">
    <cfRule type="expression" priority="326" dxfId="0">
      <formula>$H327="YES"</formula>
    </cfRule>
  </conditionalFormatting>
  <conditionalFormatting sqref="A328:J328">
    <cfRule type="expression" priority="327" dxfId="0">
      <formula>$H328="YES"</formula>
    </cfRule>
  </conditionalFormatting>
  <conditionalFormatting sqref="A329:J329">
    <cfRule type="expression" priority="328" dxfId="0">
      <formula>$H329="YES"</formula>
    </cfRule>
  </conditionalFormatting>
  <conditionalFormatting sqref="A330:J330">
    <cfRule type="expression" priority="329" dxfId="0">
      <formula>$H330="YES"</formula>
    </cfRule>
  </conditionalFormatting>
  <conditionalFormatting sqref="A331:J331">
    <cfRule type="expression" priority="330" dxfId="0">
      <formula>$H331="YES"</formula>
    </cfRule>
  </conditionalFormatting>
  <conditionalFormatting sqref="A332:J332">
    <cfRule type="expression" priority="331" dxfId="0">
      <formula>$H332="YES"</formula>
    </cfRule>
  </conditionalFormatting>
  <conditionalFormatting sqref="A333:J333">
    <cfRule type="expression" priority="332" dxfId="0">
      <formula>$H333="YES"</formula>
    </cfRule>
  </conditionalFormatting>
  <conditionalFormatting sqref="A334:J334">
    <cfRule type="expression" priority="333" dxfId="0">
      <formula>$H334="YES"</formula>
    </cfRule>
  </conditionalFormatting>
  <conditionalFormatting sqref="A335:J335">
    <cfRule type="expression" priority="334" dxfId="0">
      <formula>$H335="YES"</formula>
    </cfRule>
  </conditionalFormatting>
  <conditionalFormatting sqref="A336:J336">
    <cfRule type="expression" priority="335" dxfId="0">
      <formula>$H336="YES"</formula>
    </cfRule>
  </conditionalFormatting>
  <conditionalFormatting sqref="A337:J337">
    <cfRule type="expression" priority="336" dxfId="0">
      <formula>$H337="YES"</formula>
    </cfRule>
  </conditionalFormatting>
  <conditionalFormatting sqref="A338:J338">
    <cfRule type="expression" priority="337" dxfId="0">
      <formula>$H338="YES"</formula>
    </cfRule>
  </conditionalFormatting>
  <conditionalFormatting sqref="A339:J339">
    <cfRule type="expression" priority="338" dxfId="0">
      <formula>$H339="YES"</formula>
    </cfRule>
  </conditionalFormatting>
  <conditionalFormatting sqref="A340:J340">
    <cfRule type="expression" priority="339" dxfId="0">
      <formula>$H340="YES"</formula>
    </cfRule>
  </conditionalFormatting>
  <conditionalFormatting sqref="A341:J341">
    <cfRule type="expression" priority="340" dxfId="0">
      <formula>$H341="YES"</formula>
    </cfRule>
  </conditionalFormatting>
  <conditionalFormatting sqref="A342:J342">
    <cfRule type="expression" priority="341" dxfId="0">
      <formula>$H342="YES"</formula>
    </cfRule>
  </conditionalFormatting>
  <conditionalFormatting sqref="A343:J343">
    <cfRule type="expression" priority="342" dxfId="0">
      <formula>$H343="YES"</formula>
    </cfRule>
  </conditionalFormatting>
  <conditionalFormatting sqref="A344:J344">
    <cfRule type="expression" priority="343" dxfId="0">
      <formula>$H344="YES"</formula>
    </cfRule>
  </conditionalFormatting>
  <conditionalFormatting sqref="A345:J345">
    <cfRule type="expression" priority="344" dxfId="0">
      <formula>$H345="YES"</formula>
    </cfRule>
  </conditionalFormatting>
  <conditionalFormatting sqref="A346:J346">
    <cfRule type="expression" priority="345" dxfId="0">
      <formula>$H346="YES"</formula>
    </cfRule>
  </conditionalFormatting>
  <conditionalFormatting sqref="A347:J347">
    <cfRule type="expression" priority="346" dxfId="0">
      <formula>$H347="YES"</formula>
    </cfRule>
  </conditionalFormatting>
  <conditionalFormatting sqref="A348:J348">
    <cfRule type="expression" priority="347" dxfId="0">
      <formula>$H348="YES"</formula>
    </cfRule>
  </conditionalFormatting>
  <conditionalFormatting sqref="A349:J349">
    <cfRule type="expression" priority="348" dxfId="0">
      <formula>$H349="YES"</formula>
    </cfRule>
  </conditionalFormatting>
  <conditionalFormatting sqref="A350:J350">
    <cfRule type="expression" priority="349" dxfId="0">
      <formula>$H350="YES"</formula>
    </cfRule>
  </conditionalFormatting>
  <conditionalFormatting sqref="A351:J351">
    <cfRule type="expression" priority="350" dxfId="0">
      <formula>$H351="YES"</formula>
    </cfRule>
  </conditionalFormatting>
  <conditionalFormatting sqref="A352:J352">
    <cfRule type="expression" priority="351" dxfId="0">
      <formula>$H352="YES"</formula>
    </cfRule>
  </conditionalFormatting>
  <conditionalFormatting sqref="A353:J353">
    <cfRule type="expression" priority="352" dxfId="0">
      <formula>$H353="YES"</formula>
    </cfRule>
  </conditionalFormatting>
  <conditionalFormatting sqref="A354:J354">
    <cfRule type="expression" priority="353" dxfId="0">
      <formula>$H354="YES"</formula>
    </cfRule>
  </conditionalFormatting>
  <conditionalFormatting sqref="A355:J355">
    <cfRule type="expression" priority="354" dxfId="0">
      <formula>$H355="YES"</formula>
    </cfRule>
  </conditionalFormatting>
  <conditionalFormatting sqref="A356:J356">
    <cfRule type="expression" priority="355" dxfId="0">
      <formula>$H356="YES"</formula>
    </cfRule>
  </conditionalFormatting>
  <conditionalFormatting sqref="A357:J357">
    <cfRule type="expression" priority="356" dxfId="0">
      <formula>$H357="YES"</formula>
    </cfRule>
  </conditionalFormatting>
  <conditionalFormatting sqref="A358:J358">
    <cfRule type="expression" priority="357" dxfId="0">
      <formula>$H358="YES"</formula>
    </cfRule>
  </conditionalFormatting>
  <conditionalFormatting sqref="A359:J359">
    <cfRule type="expression" priority="358" dxfId="0">
      <formula>$H359="YES"</formula>
    </cfRule>
  </conditionalFormatting>
  <conditionalFormatting sqref="A360:J360">
    <cfRule type="expression" priority="359" dxfId="0">
      <formula>$H360="YES"</formula>
    </cfRule>
  </conditionalFormatting>
  <conditionalFormatting sqref="A361:J361">
    <cfRule type="expression" priority="360" dxfId="0">
      <formula>$H361="YES"</formula>
    </cfRule>
  </conditionalFormatting>
  <conditionalFormatting sqref="A362:J362">
    <cfRule type="expression" priority="361" dxfId="0">
      <formula>$H362="YES"</formula>
    </cfRule>
  </conditionalFormatting>
  <conditionalFormatting sqref="A363:J363">
    <cfRule type="expression" priority="362" dxfId="0">
      <formula>$H363="YES"</formula>
    </cfRule>
  </conditionalFormatting>
  <conditionalFormatting sqref="A364:J364">
    <cfRule type="expression" priority="363" dxfId="0">
      <formula>$H364="YES"</formula>
    </cfRule>
  </conditionalFormatting>
  <conditionalFormatting sqref="A365:J365">
    <cfRule type="expression" priority="364" dxfId="0">
      <formula>$H365="YES"</formula>
    </cfRule>
  </conditionalFormatting>
  <conditionalFormatting sqref="A366:J366">
    <cfRule type="expression" priority="365" dxfId="0">
      <formula>$H366="YES"</formula>
    </cfRule>
  </conditionalFormatting>
  <conditionalFormatting sqref="A367:J367">
    <cfRule type="expression" priority="366" dxfId="0">
      <formula>$H367="YES"</formula>
    </cfRule>
  </conditionalFormatting>
  <conditionalFormatting sqref="A368:J368">
    <cfRule type="expression" priority="367" dxfId="0">
      <formula>$H368="YES"</formula>
    </cfRule>
  </conditionalFormatting>
  <conditionalFormatting sqref="A369:J369">
    <cfRule type="expression" priority="368" dxfId="0">
      <formula>$H369="YES"</formula>
    </cfRule>
  </conditionalFormatting>
  <conditionalFormatting sqref="A370:J370">
    <cfRule type="expression" priority="369" dxfId="0">
      <formula>$H370="YES"</formula>
    </cfRule>
  </conditionalFormatting>
  <conditionalFormatting sqref="A371:J371">
    <cfRule type="expression" priority="370" dxfId="0">
      <formula>$H371="YES"</formula>
    </cfRule>
  </conditionalFormatting>
  <conditionalFormatting sqref="A372:J372">
    <cfRule type="expression" priority="371" dxfId="0">
      <formula>$H372="YES"</formula>
    </cfRule>
  </conditionalFormatting>
  <conditionalFormatting sqref="A373:J373">
    <cfRule type="expression" priority="372" dxfId="0">
      <formula>$H373="YES"</formula>
    </cfRule>
  </conditionalFormatting>
  <conditionalFormatting sqref="A374:J374">
    <cfRule type="expression" priority="373" dxfId="0">
      <formula>$H374="YES"</formula>
    </cfRule>
  </conditionalFormatting>
  <conditionalFormatting sqref="A375:J375">
    <cfRule type="expression" priority="374" dxfId="0">
      <formula>$H375="YES"</formula>
    </cfRule>
  </conditionalFormatting>
  <conditionalFormatting sqref="A376:J376">
    <cfRule type="expression" priority="375" dxfId="0">
      <formula>$H376="YES"</formula>
    </cfRule>
  </conditionalFormatting>
  <conditionalFormatting sqref="A377:J377">
    <cfRule type="expression" priority="376" dxfId="0">
      <formula>$H377="YES"</formula>
    </cfRule>
  </conditionalFormatting>
  <conditionalFormatting sqref="A378:J378">
    <cfRule type="expression" priority="377" dxfId="0">
      <formula>$H378="YES"</formula>
    </cfRule>
  </conditionalFormatting>
  <conditionalFormatting sqref="A379:J379">
    <cfRule type="expression" priority="378" dxfId="0">
      <formula>$H379="YES"</formula>
    </cfRule>
  </conditionalFormatting>
  <conditionalFormatting sqref="A380:J380">
    <cfRule type="expression" priority="379" dxfId="0">
      <formula>$H380="YES"</formula>
    </cfRule>
  </conditionalFormatting>
  <conditionalFormatting sqref="A381:J381">
    <cfRule type="expression" priority="380" dxfId="0">
      <formula>$H381="YES"</formula>
    </cfRule>
  </conditionalFormatting>
  <conditionalFormatting sqref="A382:J382">
    <cfRule type="expression" priority="381" dxfId="0">
      <formula>$H382="YES"</formula>
    </cfRule>
  </conditionalFormatting>
  <conditionalFormatting sqref="A383:J383">
    <cfRule type="expression" priority="382" dxfId="0">
      <formula>$H383="YES"</formula>
    </cfRule>
  </conditionalFormatting>
  <conditionalFormatting sqref="A384:J384">
    <cfRule type="expression" priority="383" dxfId="0">
      <formula>$H384="YES"</formula>
    </cfRule>
  </conditionalFormatting>
  <conditionalFormatting sqref="A385:J385">
    <cfRule type="expression" priority="384" dxfId="0">
      <formula>$H385="YES"</formula>
    </cfRule>
  </conditionalFormatting>
  <conditionalFormatting sqref="A386:J386">
    <cfRule type="expression" priority="385" dxfId="0">
      <formula>$H386="YES"</formula>
    </cfRule>
  </conditionalFormatting>
  <conditionalFormatting sqref="A387:J387">
    <cfRule type="expression" priority="386" dxfId="0">
      <formula>$H387="YES"</formula>
    </cfRule>
  </conditionalFormatting>
  <conditionalFormatting sqref="A388:J388">
    <cfRule type="expression" priority="387" dxfId="0">
      <formula>$H388="YES"</formula>
    </cfRule>
  </conditionalFormatting>
  <conditionalFormatting sqref="A389:J389">
    <cfRule type="expression" priority="388" dxfId="0">
      <formula>$H389="YES"</formula>
    </cfRule>
  </conditionalFormatting>
  <conditionalFormatting sqref="A390:J390">
    <cfRule type="expression" priority="389" dxfId="0">
      <formula>$H390="YES"</formula>
    </cfRule>
  </conditionalFormatting>
  <conditionalFormatting sqref="A391:J391">
    <cfRule type="expression" priority="390" dxfId="0">
      <formula>$H391="YES"</formula>
    </cfRule>
  </conditionalFormatting>
  <conditionalFormatting sqref="A392:J392">
    <cfRule type="expression" priority="391" dxfId="0">
      <formula>$H392="YES"</formula>
    </cfRule>
  </conditionalFormatting>
  <conditionalFormatting sqref="A393:J393">
    <cfRule type="expression" priority="392" dxfId="0">
      <formula>$H393="YES"</formula>
    </cfRule>
  </conditionalFormatting>
  <conditionalFormatting sqref="A394:J394">
    <cfRule type="expression" priority="393" dxfId="0">
      <formula>$H394="YES"</formula>
    </cfRule>
  </conditionalFormatting>
  <conditionalFormatting sqref="A395:J395">
    <cfRule type="expression" priority="394" dxfId="0">
      <formula>$H395="YES"</formula>
    </cfRule>
  </conditionalFormatting>
  <conditionalFormatting sqref="A396:J396">
    <cfRule type="expression" priority="395" dxfId="0">
      <formula>$H396="YES"</formula>
    </cfRule>
  </conditionalFormatting>
  <conditionalFormatting sqref="A397:J397">
    <cfRule type="expression" priority="396" dxfId="0">
      <formula>$H397="YES"</formula>
    </cfRule>
  </conditionalFormatting>
  <conditionalFormatting sqref="A398:J398">
    <cfRule type="expression" priority="397" dxfId="0">
      <formula>$H398="YES"</formula>
    </cfRule>
  </conditionalFormatting>
  <conditionalFormatting sqref="A399:J399">
    <cfRule type="expression" priority="398" dxfId="0">
      <formula>$H399="YES"</formula>
    </cfRule>
  </conditionalFormatting>
  <conditionalFormatting sqref="A400:J400">
    <cfRule type="expression" priority="399" dxfId="0">
      <formula>$H400="YES"</formula>
    </cfRule>
  </conditionalFormatting>
  <conditionalFormatting sqref="A401:J401">
    <cfRule type="expression" priority="400" dxfId="0">
      <formula>$H401="YES"</formula>
    </cfRule>
  </conditionalFormatting>
  <conditionalFormatting sqref="A402:J402">
    <cfRule type="expression" priority="401" dxfId="0">
      <formula>$H402="YES"</formula>
    </cfRule>
  </conditionalFormatting>
  <conditionalFormatting sqref="A403:J403">
    <cfRule type="expression" priority="402" dxfId="0">
      <formula>$H403="YES"</formula>
    </cfRule>
  </conditionalFormatting>
  <conditionalFormatting sqref="A404:J404">
    <cfRule type="expression" priority="403" dxfId="0">
      <formula>$H404="YES"</formula>
    </cfRule>
  </conditionalFormatting>
  <conditionalFormatting sqref="A405:J405">
    <cfRule type="expression" priority="404" dxfId="0">
      <formula>$H405="YES"</formula>
    </cfRule>
  </conditionalFormatting>
  <conditionalFormatting sqref="A406:J406">
    <cfRule type="expression" priority="405" dxfId="0">
      <formula>$H406="YES"</formula>
    </cfRule>
  </conditionalFormatting>
  <conditionalFormatting sqref="A407:J407">
    <cfRule type="expression" priority="406" dxfId="0">
      <formula>$H407="YES"</formula>
    </cfRule>
  </conditionalFormatting>
  <conditionalFormatting sqref="A408:J408">
    <cfRule type="expression" priority="407" dxfId="0">
      <formula>$H408="YES"</formula>
    </cfRule>
  </conditionalFormatting>
  <conditionalFormatting sqref="A409:J409">
    <cfRule type="expression" priority="408" dxfId="0">
      <formula>$H409="YES"</formula>
    </cfRule>
  </conditionalFormatting>
  <conditionalFormatting sqref="A410:J410">
    <cfRule type="expression" priority="409" dxfId="0">
      <formula>$H410="YES"</formula>
    </cfRule>
  </conditionalFormatting>
  <conditionalFormatting sqref="A411:J411">
    <cfRule type="expression" priority="410" dxfId="0">
      <formula>$H411="YES"</formula>
    </cfRule>
  </conditionalFormatting>
  <conditionalFormatting sqref="A412:J412">
    <cfRule type="expression" priority="411" dxfId="0">
      <formula>$H412="YES"</formula>
    </cfRule>
  </conditionalFormatting>
  <conditionalFormatting sqref="A413:J413">
    <cfRule type="expression" priority="412" dxfId="0">
      <formula>$H413="YES"</formula>
    </cfRule>
  </conditionalFormatting>
  <conditionalFormatting sqref="A414:J414">
    <cfRule type="expression" priority="413" dxfId="0">
      <formula>$H414="YES"</formula>
    </cfRule>
  </conditionalFormatting>
  <conditionalFormatting sqref="A415:J415">
    <cfRule type="expression" priority="414" dxfId="0">
      <formula>$H415="YES"</formula>
    </cfRule>
  </conditionalFormatting>
  <conditionalFormatting sqref="A416:J416">
    <cfRule type="expression" priority="415" dxfId="0">
      <formula>$H416="YES"</formula>
    </cfRule>
  </conditionalFormatting>
  <conditionalFormatting sqref="A417:J417">
    <cfRule type="expression" priority="416" dxfId="0">
      <formula>$H417="YES"</formula>
    </cfRule>
  </conditionalFormatting>
  <conditionalFormatting sqref="A418:J418">
    <cfRule type="expression" priority="417" dxfId="0">
      <formula>$H418="YES"</formula>
    </cfRule>
  </conditionalFormatting>
  <conditionalFormatting sqref="A419:J419">
    <cfRule type="expression" priority="418" dxfId="0">
      <formula>$H419="YES"</formula>
    </cfRule>
  </conditionalFormatting>
  <conditionalFormatting sqref="A420:J420">
    <cfRule type="expression" priority="419" dxfId="0">
      <formula>$H420="YES"</formula>
    </cfRule>
  </conditionalFormatting>
  <conditionalFormatting sqref="A421:J421">
    <cfRule type="expression" priority="420" dxfId="0">
      <formula>$H421="YES"</formula>
    </cfRule>
  </conditionalFormatting>
  <conditionalFormatting sqref="A422:J422">
    <cfRule type="expression" priority="421" dxfId="0">
      <formula>$H422="YES"</formula>
    </cfRule>
  </conditionalFormatting>
  <conditionalFormatting sqref="A423:J423">
    <cfRule type="expression" priority="422" dxfId="0">
      <formula>$H423="YES"</formula>
    </cfRule>
  </conditionalFormatting>
  <conditionalFormatting sqref="A424:J424">
    <cfRule type="expression" priority="423" dxfId="0">
      <formula>$H424="YES"</formula>
    </cfRule>
  </conditionalFormatting>
  <conditionalFormatting sqref="A425:J425">
    <cfRule type="expression" priority="424" dxfId="0">
      <formula>$H425="YES"</formula>
    </cfRule>
  </conditionalFormatting>
  <conditionalFormatting sqref="A426:J426">
    <cfRule type="expression" priority="425" dxfId="0">
      <formula>$H426="YES"</formula>
    </cfRule>
  </conditionalFormatting>
  <conditionalFormatting sqref="A427:J427">
    <cfRule type="expression" priority="426" dxfId="0">
      <formula>$H427="YES"</formula>
    </cfRule>
  </conditionalFormatting>
  <conditionalFormatting sqref="A428:J428">
    <cfRule type="expression" priority="427" dxfId="0">
      <formula>$H428="YES"</formula>
    </cfRule>
  </conditionalFormatting>
  <conditionalFormatting sqref="A429:J429">
    <cfRule type="expression" priority="428" dxfId="0">
      <formula>$H429="YES"</formula>
    </cfRule>
  </conditionalFormatting>
  <conditionalFormatting sqref="A430:J430">
    <cfRule type="expression" priority="429" dxfId="0">
      <formula>$H430="YES"</formula>
    </cfRule>
  </conditionalFormatting>
  <conditionalFormatting sqref="A431:J431">
    <cfRule type="expression" priority="430" dxfId="0">
      <formula>$H431="YES"</formula>
    </cfRule>
  </conditionalFormatting>
  <conditionalFormatting sqref="A432:J432">
    <cfRule type="expression" priority="431" dxfId="0">
      <formula>$H432="YES"</formula>
    </cfRule>
  </conditionalFormatting>
  <conditionalFormatting sqref="A433:J433">
    <cfRule type="expression" priority="432" dxfId="0">
      <formula>$H433="YES"</formula>
    </cfRule>
  </conditionalFormatting>
  <conditionalFormatting sqref="A434:J434">
    <cfRule type="expression" priority="433" dxfId="0">
      <formula>$H434="YES"</formula>
    </cfRule>
  </conditionalFormatting>
  <conditionalFormatting sqref="A435:J435">
    <cfRule type="expression" priority="434" dxfId="0">
      <formula>$H435="YES"</formula>
    </cfRule>
  </conditionalFormatting>
  <conditionalFormatting sqref="A436:J436">
    <cfRule type="expression" priority="435" dxfId="0">
      <formula>$H436="YES"</formula>
    </cfRule>
  </conditionalFormatting>
  <conditionalFormatting sqref="A437:J437">
    <cfRule type="expression" priority="436" dxfId="0">
      <formula>$H437="YES"</formula>
    </cfRule>
  </conditionalFormatting>
  <conditionalFormatting sqref="A438:J438">
    <cfRule type="expression" priority="437" dxfId="0">
      <formula>$H438="YES"</formula>
    </cfRule>
  </conditionalFormatting>
  <conditionalFormatting sqref="A439:J439">
    <cfRule type="expression" priority="438" dxfId="0">
      <formula>$H439="YES"</formula>
    </cfRule>
  </conditionalFormatting>
  <conditionalFormatting sqref="A440:J440">
    <cfRule type="expression" priority="439" dxfId="0">
      <formula>$H440="YES"</formula>
    </cfRule>
  </conditionalFormatting>
  <conditionalFormatting sqref="A441:J441">
    <cfRule type="expression" priority="440" dxfId="0">
      <formula>$H441="YES"</formula>
    </cfRule>
  </conditionalFormatting>
  <conditionalFormatting sqref="A442:J442">
    <cfRule type="expression" priority="441" dxfId="0">
      <formula>$H442="YES"</formula>
    </cfRule>
  </conditionalFormatting>
  <conditionalFormatting sqref="A443:J443">
    <cfRule type="expression" priority="442" dxfId="0">
      <formula>$H443="YES"</formula>
    </cfRule>
  </conditionalFormatting>
  <conditionalFormatting sqref="A444:J444">
    <cfRule type="expression" priority="443" dxfId="0">
      <formula>$H444="YES"</formula>
    </cfRule>
  </conditionalFormatting>
  <conditionalFormatting sqref="A445:J445">
    <cfRule type="expression" priority="444" dxfId="0">
      <formula>$H445="YES"</formula>
    </cfRule>
  </conditionalFormatting>
  <conditionalFormatting sqref="A446:J446">
    <cfRule type="expression" priority="445" dxfId="0">
      <formula>$H446="YES"</formula>
    </cfRule>
  </conditionalFormatting>
  <conditionalFormatting sqref="A447:J447">
    <cfRule type="expression" priority="446" dxfId="0">
      <formula>$H447="YES"</formula>
    </cfRule>
  </conditionalFormatting>
  <conditionalFormatting sqref="A448:J448">
    <cfRule type="expression" priority="447" dxfId="0">
      <formula>$H448="YES"</formula>
    </cfRule>
  </conditionalFormatting>
  <conditionalFormatting sqref="A449:J449">
    <cfRule type="expression" priority="448" dxfId="0">
      <formula>$H449="YES"</formula>
    </cfRule>
  </conditionalFormatting>
  <conditionalFormatting sqref="A450:J450">
    <cfRule type="expression" priority="449" dxfId="0">
      <formula>$H450="YES"</formula>
    </cfRule>
  </conditionalFormatting>
  <conditionalFormatting sqref="A451:J451">
    <cfRule type="expression" priority="450" dxfId="0">
      <formula>$H451="YES"</formula>
    </cfRule>
  </conditionalFormatting>
  <conditionalFormatting sqref="A452:J452">
    <cfRule type="expression" priority="451" dxfId="0">
      <formula>$H452="YES"</formula>
    </cfRule>
  </conditionalFormatting>
  <conditionalFormatting sqref="A453:J453">
    <cfRule type="expression" priority="452" dxfId="0">
      <formula>$H453="YES"</formula>
    </cfRule>
  </conditionalFormatting>
  <conditionalFormatting sqref="A454:J454">
    <cfRule type="expression" priority="453" dxfId="0">
      <formula>$H454="YES"</formula>
    </cfRule>
  </conditionalFormatting>
  <conditionalFormatting sqref="A455:J455">
    <cfRule type="expression" priority="454" dxfId="0">
      <formula>$H455="YES"</formula>
    </cfRule>
  </conditionalFormatting>
  <conditionalFormatting sqref="A456:J456">
    <cfRule type="expression" priority="455" dxfId="0">
      <formula>$H456="YES"</formula>
    </cfRule>
  </conditionalFormatting>
  <conditionalFormatting sqref="A457:J457">
    <cfRule type="expression" priority="456" dxfId="0">
      <formula>$H457="YES"</formula>
    </cfRule>
  </conditionalFormatting>
  <conditionalFormatting sqref="A458:J458">
    <cfRule type="expression" priority="457" dxfId="0">
      <formula>$H458="YES"</formula>
    </cfRule>
  </conditionalFormatting>
  <conditionalFormatting sqref="A459:J459">
    <cfRule type="expression" priority="458" dxfId="0">
      <formula>$H459="YES"</formula>
    </cfRule>
  </conditionalFormatting>
  <conditionalFormatting sqref="A460:J460">
    <cfRule type="expression" priority="459" dxfId="0">
      <formula>$H460="YES"</formula>
    </cfRule>
  </conditionalFormatting>
  <conditionalFormatting sqref="A461:J461">
    <cfRule type="expression" priority="460" dxfId="0">
      <formula>$H461="YES"</formula>
    </cfRule>
  </conditionalFormatting>
  <conditionalFormatting sqref="A462:J462">
    <cfRule type="expression" priority="461" dxfId="0">
      <formula>$H462="YES"</formula>
    </cfRule>
  </conditionalFormatting>
  <conditionalFormatting sqref="A463:J463">
    <cfRule type="expression" priority="462" dxfId="0">
      <formula>$H463="YES"</formula>
    </cfRule>
  </conditionalFormatting>
  <conditionalFormatting sqref="A464:J464">
    <cfRule type="expression" priority="463" dxfId="0">
      <formula>$H464="YES"</formula>
    </cfRule>
  </conditionalFormatting>
  <conditionalFormatting sqref="A465:J465">
    <cfRule type="expression" priority="464" dxfId="0">
      <formula>$H465="YES"</formula>
    </cfRule>
  </conditionalFormatting>
  <conditionalFormatting sqref="A466:J466">
    <cfRule type="expression" priority="465" dxfId="0">
      <formula>$H466="YES"</formula>
    </cfRule>
  </conditionalFormatting>
  <conditionalFormatting sqref="A467:J467">
    <cfRule type="expression" priority="466" dxfId="0">
      <formula>$H467="YES"</formula>
    </cfRule>
  </conditionalFormatting>
  <conditionalFormatting sqref="A468:J468">
    <cfRule type="expression" priority="467" dxfId="0">
      <formula>$H468="YES"</formula>
    </cfRule>
  </conditionalFormatting>
  <conditionalFormatting sqref="A469:J469">
    <cfRule type="expression" priority="468" dxfId="0">
      <formula>$H469="YES"</formula>
    </cfRule>
  </conditionalFormatting>
  <conditionalFormatting sqref="A470:J470">
    <cfRule type="expression" priority="469" dxfId="0">
      <formula>$H470="YES"</formula>
    </cfRule>
  </conditionalFormatting>
  <conditionalFormatting sqref="A471:J471">
    <cfRule type="expression" priority="470" dxfId="0">
      <formula>$H471="YES"</formula>
    </cfRule>
  </conditionalFormatting>
  <conditionalFormatting sqref="A472:J472">
    <cfRule type="expression" priority="471" dxfId="0">
      <formula>$H472="YES"</formula>
    </cfRule>
  </conditionalFormatting>
  <conditionalFormatting sqref="A473:J473">
    <cfRule type="expression" priority="472" dxfId="0">
      <formula>$H473="YES"</formula>
    </cfRule>
  </conditionalFormatting>
  <conditionalFormatting sqref="A474:J474">
    <cfRule type="expression" priority="473" dxfId="0">
      <formula>$H474="YES"</formula>
    </cfRule>
  </conditionalFormatting>
  <conditionalFormatting sqref="A475:J475">
    <cfRule type="expression" priority="474" dxfId="0">
      <formula>$H475="YES"</formula>
    </cfRule>
  </conditionalFormatting>
  <conditionalFormatting sqref="A476:J476">
    <cfRule type="expression" priority="475" dxfId="0">
      <formula>$H476="YES"</formula>
    </cfRule>
  </conditionalFormatting>
  <conditionalFormatting sqref="A477:J477">
    <cfRule type="expression" priority="476" dxfId="0">
      <formula>$H477="YES"</formula>
    </cfRule>
  </conditionalFormatting>
  <conditionalFormatting sqref="A478:J478">
    <cfRule type="expression" priority="477" dxfId="0">
      <formula>$H478="YES"</formula>
    </cfRule>
  </conditionalFormatting>
  <conditionalFormatting sqref="A479:J479">
    <cfRule type="expression" priority="478" dxfId="0">
      <formula>$H479="YES"</formula>
    </cfRule>
  </conditionalFormatting>
  <conditionalFormatting sqref="A480:J480">
    <cfRule type="expression" priority="479" dxfId="0">
      <formula>$H480="YES"</formula>
    </cfRule>
  </conditionalFormatting>
  <conditionalFormatting sqref="A481:J481">
    <cfRule type="expression" priority="480" dxfId="0">
      <formula>$H481="YES"</formula>
    </cfRule>
  </conditionalFormatting>
  <conditionalFormatting sqref="A482:J482">
    <cfRule type="expression" priority="481" dxfId="0">
      <formula>$H482="YES"</formula>
    </cfRule>
  </conditionalFormatting>
  <conditionalFormatting sqref="A483:J483">
    <cfRule type="expression" priority="482" dxfId="0">
      <formula>$H483="YES"</formula>
    </cfRule>
  </conditionalFormatting>
  <conditionalFormatting sqref="A484:J484">
    <cfRule type="expression" priority="483" dxfId="0">
      <formula>$H484="YES"</formula>
    </cfRule>
  </conditionalFormatting>
  <conditionalFormatting sqref="A485:J485">
    <cfRule type="expression" priority="484" dxfId="0">
      <formula>$H485="YES"</formula>
    </cfRule>
  </conditionalFormatting>
  <conditionalFormatting sqref="A486:J486">
    <cfRule type="expression" priority="485" dxfId="0">
      <formula>$H486="YES"</formula>
    </cfRule>
  </conditionalFormatting>
  <conditionalFormatting sqref="A487:J487">
    <cfRule type="expression" priority="486" dxfId="0">
      <formula>$H487="YES"</formula>
    </cfRule>
  </conditionalFormatting>
  <conditionalFormatting sqref="A488:J488">
    <cfRule type="expression" priority="487" dxfId="0">
      <formula>$H488="YES"</formula>
    </cfRule>
  </conditionalFormatting>
  <conditionalFormatting sqref="A489:J489">
    <cfRule type="expression" priority="488" dxfId="0">
      <formula>$H489="YES"</formula>
    </cfRule>
  </conditionalFormatting>
  <conditionalFormatting sqref="A490:J490">
    <cfRule type="expression" priority="489" dxfId="0">
      <formula>$H490="YES"</formula>
    </cfRule>
  </conditionalFormatting>
  <conditionalFormatting sqref="A491:J491">
    <cfRule type="expression" priority="490" dxfId="0">
      <formula>$H491="YES"</formula>
    </cfRule>
  </conditionalFormatting>
  <conditionalFormatting sqref="A492:J492">
    <cfRule type="expression" priority="491" dxfId="0">
      <formula>$H492="YES"</formula>
    </cfRule>
  </conditionalFormatting>
  <conditionalFormatting sqref="A493:J493">
    <cfRule type="expression" priority="492" dxfId="0">
      <formula>$H493="YES"</formula>
    </cfRule>
  </conditionalFormatting>
  <conditionalFormatting sqref="A494:J494">
    <cfRule type="expression" priority="493" dxfId="0">
      <formula>$H494="YES"</formula>
    </cfRule>
  </conditionalFormatting>
  <conditionalFormatting sqref="A495:J495">
    <cfRule type="expression" priority="494" dxfId="0">
      <formula>$H495="YES"</formula>
    </cfRule>
  </conditionalFormatting>
  <conditionalFormatting sqref="A496:J496">
    <cfRule type="expression" priority="495" dxfId="0">
      <formula>$H496="YES"</formula>
    </cfRule>
  </conditionalFormatting>
  <conditionalFormatting sqref="A497:J497">
    <cfRule type="expression" priority="496" dxfId="0">
      <formula>$H497="YES"</formula>
    </cfRule>
  </conditionalFormatting>
  <conditionalFormatting sqref="A498:J498">
    <cfRule type="expression" priority="497" dxfId="0">
      <formula>$H498="YES"</formula>
    </cfRule>
  </conditionalFormatting>
  <conditionalFormatting sqref="A499:J499">
    <cfRule type="expression" priority="498" dxfId="0">
      <formula>$H499="YES"</formula>
    </cfRule>
  </conditionalFormatting>
  <conditionalFormatting sqref="A500:J500">
    <cfRule type="expression" priority="499" dxfId="0">
      <formula>$H500="YES"</formula>
    </cfRule>
  </conditionalFormatting>
  <conditionalFormatting sqref="A501:J501">
    <cfRule type="expression" priority="500" dxfId="0">
      <formula>$H501="YES"</formula>
    </cfRule>
  </conditionalFormatting>
  <conditionalFormatting sqref="A502:J502">
    <cfRule type="expression" priority="501" dxfId="0">
      <formula>$H502="YES"</formula>
    </cfRule>
  </conditionalFormatting>
  <conditionalFormatting sqref="A503:J503">
    <cfRule type="expression" priority="502" dxfId="0">
      <formula>$H503="YES"</formula>
    </cfRule>
  </conditionalFormatting>
  <conditionalFormatting sqref="A504:J504">
    <cfRule type="expression" priority="503" dxfId="0">
      <formula>$H504="YES"</formula>
    </cfRule>
  </conditionalFormatting>
  <conditionalFormatting sqref="A505:J505">
    <cfRule type="expression" priority="504" dxfId="0">
      <formula>$H505="YES"</formula>
    </cfRule>
  </conditionalFormatting>
  <conditionalFormatting sqref="A506:J506">
    <cfRule type="expression" priority="505" dxfId="0">
      <formula>$H506="YES"</formula>
    </cfRule>
  </conditionalFormatting>
  <conditionalFormatting sqref="A507:J507">
    <cfRule type="expression" priority="506" dxfId="0">
      <formula>$H507="YES"</formula>
    </cfRule>
  </conditionalFormatting>
  <conditionalFormatting sqref="A508:J508">
    <cfRule type="expression" priority="507" dxfId="0">
      <formula>$H508="YES"</formula>
    </cfRule>
  </conditionalFormatting>
  <conditionalFormatting sqref="A509:J509">
    <cfRule type="expression" priority="508" dxfId="0">
      <formula>$H509="YES"</formula>
    </cfRule>
  </conditionalFormatting>
  <conditionalFormatting sqref="A510:J510">
    <cfRule type="expression" priority="509" dxfId="0">
      <formula>$H510="YES"</formula>
    </cfRule>
  </conditionalFormatting>
  <conditionalFormatting sqref="A511:J511">
    <cfRule type="expression" priority="510" dxfId="0">
      <formula>$H511="YES"</formula>
    </cfRule>
  </conditionalFormatting>
  <conditionalFormatting sqref="A512:J512">
    <cfRule type="expression" priority="511" dxfId="0">
      <formula>$H512="YES"</formula>
    </cfRule>
  </conditionalFormatting>
  <conditionalFormatting sqref="A513:J513">
    <cfRule type="expression" priority="512" dxfId="0">
      <formula>$H513="YES"</formula>
    </cfRule>
  </conditionalFormatting>
  <conditionalFormatting sqref="A514:J514">
    <cfRule type="expression" priority="513" dxfId="0">
      <formula>$H514="YES"</formula>
    </cfRule>
  </conditionalFormatting>
  <conditionalFormatting sqref="A515:J515">
    <cfRule type="expression" priority="514" dxfId="0">
      <formula>$H515="YES"</formula>
    </cfRule>
  </conditionalFormatting>
  <conditionalFormatting sqref="A516:J516">
    <cfRule type="expression" priority="515" dxfId="0">
      <formula>$H516="YES"</formula>
    </cfRule>
  </conditionalFormatting>
  <conditionalFormatting sqref="A517:J517">
    <cfRule type="expression" priority="516" dxfId="0">
      <formula>$H517="YES"</formula>
    </cfRule>
  </conditionalFormatting>
  <conditionalFormatting sqref="A518:J518">
    <cfRule type="expression" priority="517" dxfId="0">
      <formula>$H518="YES"</formula>
    </cfRule>
  </conditionalFormatting>
  <conditionalFormatting sqref="A519:J519">
    <cfRule type="expression" priority="518" dxfId="0">
      <formula>$H519="YES"</formula>
    </cfRule>
  </conditionalFormatting>
  <conditionalFormatting sqref="A520:J520">
    <cfRule type="expression" priority="519" dxfId="0">
      <formula>$H520="YES"</formula>
    </cfRule>
  </conditionalFormatting>
  <conditionalFormatting sqref="A521:J521">
    <cfRule type="expression" priority="520" dxfId="0">
      <formula>$H521="YES"</formula>
    </cfRule>
  </conditionalFormatting>
  <conditionalFormatting sqref="A522:J522">
    <cfRule type="expression" priority="521" dxfId="0">
      <formula>$H522="YES"</formula>
    </cfRule>
  </conditionalFormatting>
  <conditionalFormatting sqref="A523:J523">
    <cfRule type="expression" priority="522" dxfId="0">
      <formula>$H523="YES"</formula>
    </cfRule>
  </conditionalFormatting>
  <conditionalFormatting sqref="A524:J524">
    <cfRule type="expression" priority="523" dxfId="0">
      <formula>$H524="YES"</formula>
    </cfRule>
  </conditionalFormatting>
  <conditionalFormatting sqref="A525:J525">
    <cfRule type="expression" priority="524" dxfId="0">
      <formula>$H525="YES"</formula>
    </cfRule>
  </conditionalFormatting>
  <conditionalFormatting sqref="A526:J526">
    <cfRule type="expression" priority="525" dxfId="0">
      <formula>$H526="YES"</formula>
    </cfRule>
  </conditionalFormatting>
  <conditionalFormatting sqref="A527:J527">
    <cfRule type="expression" priority="526" dxfId="0">
      <formula>$H527="YES"</formula>
    </cfRule>
  </conditionalFormatting>
  <conditionalFormatting sqref="A528:J528">
    <cfRule type="expression" priority="527" dxfId="0">
      <formula>$H528="YES"</formula>
    </cfRule>
  </conditionalFormatting>
  <conditionalFormatting sqref="A529:J529">
    <cfRule type="expression" priority="528" dxfId="0">
      <formula>$H529="YES"</formula>
    </cfRule>
  </conditionalFormatting>
  <conditionalFormatting sqref="A530:J530">
    <cfRule type="expression" priority="529" dxfId="0">
      <formula>$H530="YES"</formula>
    </cfRule>
  </conditionalFormatting>
  <conditionalFormatting sqref="A531:J531">
    <cfRule type="expression" priority="530" dxfId="0">
      <formula>$H531="YES"</formula>
    </cfRule>
  </conditionalFormatting>
  <conditionalFormatting sqref="A532:J532">
    <cfRule type="expression" priority="531" dxfId="0">
      <formula>$H532="YES"</formula>
    </cfRule>
  </conditionalFormatting>
  <conditionalFormatting sqref="A533:J533">
    <cfRule type="expression" priority="532" dxfId="0">
      <formula>$H533="YES"</formula>
    </cfRule>
  </conditionalFormatting>
  <conditionalFormatting sqref="A534:J534">
    <cfRule type="expression" priority="533" dxfId="0">
      <formula>$H534="YES"</formula>
    </cfRule>
  </conditionalFormatting>
  <conditionalFormatting sqref="A535:J535">
    <cfRule type="expression" priority="534" dxfId="0">
      <formula>$H535="YES"</formula>
    </cfRule>
  </conditionalFormatting>
  <conditionalFormatting sqref="A536:J536">
    <cfRule type="expression" priority="535" dxfId="0">
      <formula>$H536="YES"</formula>
    </cfRule>
  </conditionalFormatting>
  <conditionalFormatting sqref="A537:J537">
    <cfRule type="expression" priority="536" dxfId="0">
      <formula>$H537="YES"</formula>
    </cfRule>
  </conditionalFormatting>
  <conditionalFormatting sqref="A538:J538">
    <cfRule type="expression" priority="537" dxfId="0">
      <formula>$H538="YES"</formula>
    </cfRule>
  </conditionalFormatting>
  <conditionalFormatting sqref="A539:J539">
    <cfRule type="expression" priority="538" dxfId="0">
      <formula>$H539="YES"</formula>
    </cfRule>
  </conditionalFormatting>
  <conditionalFormatting sqref="A540:J540">
    <cfRule type="expression" priority="539" dxfId="0">
      <formula>$H540="YES"</formula>
    </cfRule>
  </conditionalFormatting>
  <conditionalFormatting sqref="A541:J541">
    <cfRule type="expression" priority="540" dxfId="0">
      <formula>$H541="YES"</formula>
    </cfRule>
  </conditionalFormatting>
  <conditionalFormatting sqref="A542:J542">
    <cfRule type="expression" priority="541" dxfId="0">
      <formula>$H542="YES"</formula>
    </cfRule>
  </conditionalFormatting>
  <conditionalFormatting sqref="A543:J543">
    <cfRule type="expression" priority="542" dxfId="0">
      <formula>$H543="YES"</formula>
    </cfRule>
  </conditionalFormatting>
  <conditionalFormatting sqref="A544:J544">
    <cfRule type="expression" priority="543" dxfId="0">
      <formula>$H544="YES"</formula>
    </cfRule>
  </conditionalFormatting>
  <conditionalFormatting sqref="A545:J545">
    <cfRule type="expression" priority="544" dxfId="0">
      <formula>$H545="YES"</formula>
    </cfRule>
  </conditionalFormatting>
  <conditionalFormatting sqref="A546:J546">
    <cfRule type="expression" priority="545" dxfId="0">
      <formula>$H546="YES"</formula>
    </cfRule>
  </conditionalFormatting>
  <conditionalFormatting sqref="A547:J547">
    <cfRule type="expression" priority="546" dxfId="0">
      <formula>$H547="YES"</formula>
    </cfRule>
  </conditionalFormatting>
  <conditionalFormatting sqref="A548:J548">
    <cfRule type="expression" priority="547" dxfId="0">
      <formula>$H548="YES"</formula>
    </cfRule>
  </conditionalFormatting>
  <conditionalFormatting sqref="A549:J549">
    <cfRule type="expression" priority="548" dxfId="0">
      <formula>$H549="YES"</formula>
    </cfRule>
  </conditionalFormatting>
  <conditionalFormatting sqref="A550:J550">
    <cfRule type="expression" priority="549" dxfId="0">
      <formula>$H550="YES"</formula>
    </cfRule>
  </conditionalFormatting>
  <conditionalFormatting sqref="A551:J551">
    <cfRule type="expression" priority="550" dxfId="0">
      <formula>$H551="YES"</formula>
    </cfRule>
  </conditionalFormatting>
  <conditionalFormatting sqref="A552:J552">
    <cfRule type="expression" priority="551" dxfId="0">
      <formula>$H552="YES"</formula>
    </cfRule>
  </conditionalFormatting>
  <conditionalFormatting sqref="A553:J553">
    <cfRule type="expression" priority="552" dxfId="0">
      <formula>$H553="YES"</formula>
    </cfRule>
  </conditionalFormatting>
  <conditionalFormatting sqref="A554:J554">
    <cfRule type="expression" priority="553" dxfId="0">
      <formula>$H554="YES"</formula>
    </cfRule>
  </conditionalFormatting>
  <conditionalFormatting sqref="A555:J555">
    <cfRule type="expression" priority="554" dxfId="0">
      <formula>$H555="YES"</formula>
    </cfRule>
  </conditionalFormatting>
  <conditionalFormatting sqref="A556:J556">
    <cfRule type="expression" priority="555" dxfId="0">
      <formula>$H556="YES"</formula>
    </cfRule>
  </conditionalFormatting>
  <conditionalFormatting sqref="A557:J557">
    <cfRule type="expression" priority="556" dxfId="0">
      <formula>$H557="YES"</formula>
    </cfRule>
  </conditionalFormatting>
  <conditionalFormatting sqref="A558:J558">
    <cfRule type="expression" priority="557" dxfId="0">
      <formula>$H558="YES"</formula>
    </cfRule>
  </conditionalFormatting>
  <conditionalFormatting sqref="A559:J559">
    <cfRule type="expression" priority="558" dxfId="0">
      <formula>$H559="YES"</formula>
    </cfRule>
  </conditionalFormatting>
  <conditionalFormatting sqref="A560:J560">
    <cfRule type="expression" priority="559" dxfId="0">
      <formula>$H560="YES"</formula>
    </cfRule>
  </conditionalFormatting>
  <conditionalFormatting sqref="A561:J561">
    <cfRule type="expression" priority="560" dxfId="0">
      <formula>$H561="YES"</formula>
    </cfRule>
  </conditionalFormatting>
  <conditionalFormatting sqref="A562:J562">
    <cfRule type="expression" priority="561" dxfId="0">
      <formula>$H562="YES"</formula>
    </cfRule>
  </conditionalFormatting>
  <conditionalFormatting sqref="A563:J563">
    <cfRule type="expression" priority="562" dxfId="0">
      <formula>$H563="YES"</formula>
    </cfRule>
  </conditionalFormatting>
  <conditionalFormatting sqref="A564:J564">
    <cfRule type="expression" priority="563" dxfId="0">
      <formula>$H564="YES"</formula>
    </cfRule>
  </conditionalFormatting>
  <conditionalFormatting sqref="A565:J565">
    <cfRule type="expression" priority="564" dxfId="0">
      <formula>$H565="YES"</formula>
    </cfRule>
  </conditionalFormatting>
  <conditionalFormatting sqref="A566:J566">
    <cfRule type="expression" priority="565" dxfId="0">
      <formula>$H566="YES"</formula>
    </cfRule>
  </conditionalFormatting>
  <conditionalFormatting sqref="A567:J567">
    <cfRule type="expression" priority="566" dxfId="0">
      <formula>$H567="YES"</formula>
    </cfRule>
  </conditionalFormatting>
  <conditionalFormatting sqref="A568:J568">
    <cfRule type="expression" priority="567" dxfId="0">
      <formula>$H568="YES"</formula>
    </cfRule>
  </conditionalFormatting>
  <conditionalFormatting sqref="A569:J569">
    <cfRule type="expression" priority="568" dxfId="0">
      <formula>$H569="YES"</formula>
    </cfRule>
  </conditionalFormatting>
  <conditionalFormatting sqref="A570:J570">
    <cfRule type="expression" priority="569" dxfId="0">
      <formula>$H570="YES"</formula>
    </cfRule>
  </conditionalFormatting>
  <conditionalFormatting sqref="A571:J571">
    <cfRule type="expression" priority="570" dxfId="0">
      <formula>$H571="YES"</formula>
    </cfRule>
  </conditionalFormatting>
  <conditionalFormatting sqref="A572:J572">
    <cfRule type="expression" priority="571" dxfId="0">
      <formula>$H572="YES"</formula>
    </cfRule>
  </conditionalFormatting>
  <conditionalFormatting sqref="A573:J573">
    <cfRule type="expression" priority="572" dxfId="0">
      <formula>$H573="YES"</formula>
    </cfRule>
  </conditionalFormatting>
  <conditionalFormatting sqref="A574:J574">
    <cfRule type="expression" priority="573" dxfId="0">
      <formula>$H574="YES"</formula>
    </cfRule>
  </conditionalFormatting>
  <conditionalFormatting sqref="A575:J575">
    <cfRule type="expression" priority="574" dxfId="0">
      <formula>$H575="YES"</formula>
    </cfRule>
  </conditionalFormatting>
  <conditionalFormatting sqref="A576:J576">
    <cfRule type="expression" priority="575" dxfId="0">
      <formula>$H576="YES"</formula>
    </cfRule>
  </conditionalFormatting>
  <dataValidations count="4">
    <dataValidation sqref="E2:E576" showDropDown="0" showInputMessage="0" showErrorMessage="0" allowBlank="1" type="list">
      <formula1>"Income,Materials,Labor,Dump Fees,Fuel,Insurance,Tools,Repairs,Utilities,Owner Draw,Transfer"</formula1>
    </dataValidation>
    <dataValidation sqref="G2:G576" showDropDown="0" showInputMessage="0" showErrorMessage="0" allowBlank="0" type="list">
      <formula1>"Revenue,COGS,Expense,Non-Deductible"</formula1>
    </dataValidation>
    <dataValidation sqref="J2:J576" showDropDown="0" showInputMessage="0" showErrorMessage="0" allowBlank="1" type="list">
      <formula1>",Bryan,Jameson,Casey,Tony,Unassigned Labor"</formula1>
    </dataValidation>
    <dataValidation sqref="I2:I576" showDropDown="0" showInputMessage="0" showErrorMessage="0" allowBlank="1" errorTitle="Override note required" error="Override note required when manual override is YES." type="custom">
      <formula1>=OR(H2="NO",LEN(I2)&gt;0)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ALL PRO METRO EAST CONSTRUCTION LLC - Profit &amp; Loss 2025</t>
        </is>
      </c>
      <c r="B1" t="inlineStr"/>
    </row>
    <row r="2">
      <c r="A2" t="inlineStr"/>
      <c r="B2" t="inlineStr"/>
    </row>
    <row r="3">
      <c r="A3" s="1" t="inlineStr">
        <is>
          <t>Revenue</t>
        </is>
      </c>
      <c r="B3" s="2">
        <f>SUMIFS(CATEGORIZED_2025!$C:$C,CATEGORIZED_2025!$G:$G,"Revenue")</f>
        <v/>
      </c>
    </row>
    <row r="4">
      <c r="A4" s="1" t="inlineStr">
        <is>
          <t>COGS</t>
        </is>
      </c>
      <c r="B4" s="2">
        <f>SUMIFS(CATEGORIZED_2025!$C:$C,CATEGORIZED_2025!$G:$G,"COGS")</f>
        <v/>
      </c>
    </row>
    <row r="5">
      <c r="A5" s="1" t="inlineStr">
        <is>
          <t>Expenses</t>
        </is>
      </c>
      <c r="B5" s="2">
        <f>SUMIFS(CATEGORIZED_2025!$C:$C,CATEGORIZED_2025!$G:$G,"Expense")</f>
        <v/>
      </c>
    </row>
    <row r="6">
      <c r="A6" s="1" t="inlineStr">
        <is>
          <t>Non-Deductible</t>
        </is>
      </c>
      <c r="B6" s="2">
        <f>SUMIFS(CATEGORIZED_2025!$C:$C,CATEGORIZED_2025!$G:$G,"Non-Deductible")</f>
        <v/>
      </c>
    </row>
    <row r="7">
      <c r="A7" s="1" t="inlineStr">
        <is>
          <t>Net Income</t>
        </is>
      </c>
      <c r="B7" s="2">
        <f>B3-B4-B5</f>
        <v/>
      </c>
    </row>
    <row r="8">
      <c r="A8" s="1" t="inlineStr">
        <is>
          <t>Manual Overrides</t>
        </is>
      </c>
      <c r="B8" s="2">
        <f>COUNTIF(CATEGORIZED_2025!$H:$H,"YES")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COGS</t>
        </is>
      </c>
      <c r="D1" s="4" t="inlineStr">
        <is>
          <t>Expenses</t>
        </is>
      </c>
      <c r="E1" s="4" t="inlineStr">
        <is>
          <t>Net Income</t>
        </is>
      </c>
    </row>
    <row r="2">
      <c r="A2" t="inlineStr">
        <is>
          <t>January</t>
        </is>
      </c>
      <c r="B2" s="2">
        <f>SUMPRODUCT((CATEGORIZED_2025!$G$2:$G$200000="Revenue")*(TEXT(CATEGORIZED_2025!$A$2:$A$200000,"yyyy-mm")="2025-01")*CATEGORIZED_2025!$C$2:$C$200000)</f>
        <v/>
      </c>
      <c r="C2" s="2">
        <f>SUMPRODUCT((CATEGORIZED_2025!$G$2:$G$200000="COGS")*(TEXT(CATEGORIZED_2025!$A$2:$A$200000,"yyyy-mm")="2025-01")*CATEGORIZED_2025!$C$2:$C$200000)</f>
        <v/>
      </c>
      <c r="D2" s="2">
        <f>SUMPRODUCT((CATEGORIZED_2025!$G$2:$G$200000="Expense")*(TEXT(CATEGORIZED_2025!$A$2:$A$200000,"yyyy-mm")="2025-01")*CATEGORIZED_2025!$C$2:$C$200000)</f>
        <v/>
      </c>
      <c r="E2" s="2">
        <f>B2-C2-D2</f>
        <v/>
      </c>
    </row>
    <row r="3">
      <c r="A3" t="inlineStr">
        <is>
          <t>February</t>
        </is>
      </c>
      <c r="B3" s="2">
        <f>SUMPRODUCT((CATEGORIZED_2025!$G$2:$G$200000="Revenue")*(TEXT(CATEGORIZED_2025!$A$2:$A$200000,"yyyy-mm")="2025-02")*CATEGORIZED_2025!$C$2:$C$200000)</f>
        <v/>
      </c>
      <c r="C3" s="2">
        <f>SUMPRODUCT((CATEGORIZED_2025!$G$2:$G$200000="COGS")*(TEXT(CATEGORIZED_2025!$A$2:$A$200000,"yyyy-mm")="2025-02")*CATEGORIZED_2025!$C$2:$C$200000)</f>
        <v/>
      </c>
      <c r="D3" s="2">
        <f>SUMPRODUCT((CATEGORIZED_2025!$G$2:$G$200000="Expense")*(TEXT(CATEGORIZED_2025!$A$2:$A$200000,"yyyy-mm")="2025-02")*CATEGORIZED_2025!$C$2:$C$200000)</f>
        <v/>
      </c>
      <c r="E3" s="2">
        <f>B3-C3-D3</f>
        <v/>
      </c>
    </row>
    <row r="4">
      <c r="A4" t="inlineStr">
        <is>
          <t>March</t>
        </is>
      </c>
      <c r="B4" s="2">
        <f>SUMPRODUCT((CATEGORIZED_2025!$G$2:$G$200000="Revenue")*(TEXT(CATEGORIZED_2025!$A$2:$A$200000,"yyyy-mm")="2025-03")*CATEGORIZED_2025!$C$2:$C$200000)</f>
        <v/>
      </c>
      <c r="C4" s="2">
        <f>SUMPRODUCT((CATEGORIZED_2025!$G$2:$G$200000="COGS")*(TEXT(CATEGORIZED_2025!$A$2:$A$200000,"yyyy-mm")="2025-03")*CATEGORIZED_2025!$C$2:$C$200000)</f>
        <v/>
      </c>
      <c r="D4" s="2">
        <f>SUMPRODUCT((CATEGORIZED_2025!$G$2:$G$200000="Expense")*(TEXT(CATEGORIZED_2025!$A$2:$A$200000,"yyyy-mm")="2025-03")*CATEGORIZED_2025!$C$2:$C$200000)</f>
        <v/>
      </c>
      <c r="E4" s="2">
        <f>B4-C4-D4</f>
        <v/>
      </c>
    </row>
    <row r="5">
      <c r="A5" t="inlineStr">
        <is>
          <t>April</t>
        </is>
      </c>
      <c r="B5" s="2">
        <f>SUMPRODUCT((CATEGORIZED_2025!$G$2:$G$200000="Revenue")*(TEXT(CATEGORIZED_2025!$A$2:$A$200000,"yyyy-mm")="2025-04")*CATEGORIZED_2025!$C$2:$C$200000)</f>
        <v/>
      </c>
      <c r="C5" s="2">
        <f>SUMPRODUCT((CATEGORIZED_2025!$G$2:$G$200000="COGS")*(TEXT(CATEGORIZED_2025!$A$2:$A$200000,"yyyy-mm")="2025-04")*CATEGORIZED_2025!$C$2:$C$200000)</f>
        <v/>
      </c>
      <c r="D5" s="2">
        <f>SUMPRODUCT((CATEGORIZED_2025!$G$2:$G$200000="Expense")*(TEXT(CATEGORIZED_2025!$A$2:$A$200000,"yyyy-mm")="2025-04")*CATEGORIZED_2025!$C$2:$C$200000)</f>
        <v/>
      </c>
      <c r="E5" s="2">
        <f>B5-C5-D5</f>
        <v/>
      </c>
    </row>
    <row r="6">
      <c r="A6" t="inlineStr">
        <is>
          <t>May</t>
        </is>
      </c>
      <c r="B6" s="2">
        <f>SUMPRODUCT((CATEGORIZED_2025!$G$2:$G$200000="Revenue")*(TEXT(CATEGORIZED_2025!$A$2:$A$200000,"yyyy-mm")="2025-05")*CATEGORIZED_2025!$C$2:$C$200000)</f>
        <v/>
      </c>
      <c r="C6" s="2">
        <f>SUMPRODUCT((CATEGORIZED_2025!$G$2:$G$200000="COGS")*(TEXT(CATEGORIZED_2025!$A$2:$A$200000,"yyyy-mm")="2025-05")*CATEGORIZED_2025!$C$2:$C$200000)</f>
        <v/>
      </c>
      <c r="D6" s="2">
        <f>SUMPRODUCT((CATEGORIZED_2025!$G$2:$G$200000="Expense")*(TEXT(CATEGORIZED_2025!$A$2:$A$200000,"yyyy-mm")="2025-05")*CATEGORIZED_2025!$C$2:$C$200000)</f>
        <v/>
      </c>
      <c r="E6" s="2">
        <f>B6-C6-D6</f>
        <v/>
      </c>
    </row>
    <row r="7">
      <c r="A7" t="inlineStr">
        <is>
          <t>June</t>
        </is>
      </c>
      <c r="B7" s="2">
        <f>SUMPRODUCT((CATEGORIZED_2025!$G$2:$G$200000="Revenue")*(TEXT(CATEGORIZED_2025!$A$2:$A$200000,"yyyy-mm")="2025-06")*CATEGORIZED_2025!$C$2:$C$200000)</f>
        <v/>
      </c>
      <c r="C7" s="2">
        <f>SUMPRODUCT((CATEGORIZED_2025!$G$2:$G$200000="COGS")*(TEXT(CATEGORIZED_2025!$A$2:$A$200000,"yyyy-mm")="2025-06")*CATEGORIZED_2025!$C$2:$C$200000)</f>
        <v/>
      </c>
      <c r="D7" s="2">
        <f>SUMPRODUCT((CATEGORIZED_2025!$G$2:$G$200000="Expense")*(TEXT(CATEGORIZED_2025!$A$2:$A$200000,"yyyy-mm")="2025-06")*CATEGORIZED_2025!$C$2:$C$200000)</f>
        <v/>
      </c>
      <c r="E7" s="2">
        <f>B7-C7-D7</f>
        <v/>
      </c>
    </row>
    <row r="8">
      <c r="A8" t="inlineStr">
        <is>
          <t>July</t>
        </is>
      </c>
      <c r="B8" s="2">
        <f>SUMPRODUCT((CATEGORIZED_2025!$G$2:$G$200000="Revenue")*(TEXT(CATEGORIZED_2025!$A$2:$A$200000,"yyyy-mm")="2025-07")*CATEGORIZED_2025!$C$2:$C$200000)</f>
        <v/>
      </c>
      <c r="C8" s="2">
        <f>SUMPRODUCT((CATEGORIZED_2025!$G$2:$G$200000="COGS")*(TEXT(CATEGORIZED_2025!$A$2:$A$200000,"yyyy-mm")="2025-07")*CATEGORIZED_2025!$C$2:$C$200000)</f>
        <v/>
      </c>
      <c r="D8" s="2">
        <f>SUMPRODUCT((CATEGORIZED_2025!$G$2:$G$200000="Expense")*(TEXT(CATEGORIZED_2025!$A$2:$A$200000,"yyyy-mm")="2025-07")*CATEGORIZED_2025!$C$2:$C$200000)</f>
        <v/>
      </c>
      <c r="E8" s="2">
        <f>B8-C8-D8</f>
        <v/>
      </c>
    </row>
    <row r="9">
      <c r="A9" t="inlineStr">
        <is>
          <t>August</t>
        </is>
      </c>
      <c r="B9" s="2">
        <f>SUMPRODUCT((CATEGORIZED_2025!$G$2:$G$200000="Revenue")*(TEXT(CATEGORIZED_2025!$A$2:$A$200000,"yyyy-mm")="2025-08")*CATEGORIZED_2025!$C$2:$C$200000)</f>
        <v/>
      </c>
      <c r="C9" s="2">
        <f>SUMPRODUCT((CATEGORIZED_2025!$G$2:$G$200000="COGS")*(TEXT(CATEGORIZED_2025!$A$2:$A$200000,"yyyy-mm")="2025-08")*CATEGORIZED_2025!$C$2:$C$200000)</f>
        <v/>
      </c>
      <c r="D9" s="2">
        <f>SUMPRODUCT((CATEGORIZED_2025!$G$2:$G$200000="Expense")*(TEXT(CATEGORIZED_2025!$A$2:$A$200000,"yyyy-mm")="2025-08")*CATEGORIZED_2025!$C$2:$C$200000)</f>
        <v/>
      </c>
      <c r="E9" s="2">
        <f>B9-C9-D9</f>
        <v/>
      </c>
    </row>
    <row r="10">
      <c r="A10" t="inlineStr">
        <is>
          <t>September</t>
        </is>
      </c>
      <c r="B10" s="2">
        <f>SUMPRODUCT((CATEGORIZED_2025!$G$2:$G$200000="Revenue")*(TEXT(CATEGORIZED_2025!$A$2:$A$200000,"yyyy-mm")="2025-09")*CATEGORIZED_2025!$C$2:$C$200000)</f>
        <v/>
      </c>
      <c r="C10" s="2">
        <f>SUMPRODUCT((CATEGORIZED_2025!$G$2:$G$200000="COGS")*(TEXT(CATEGORIZED_2025!$A$2:$A$200000,"yyyy-mm")="2025-09")*CATEGORIZED_2025!$C$2:$C$200000)</f>
        <v/>
      </c>
      <c r="D10" s="2">
        <f>SUMPRODUCT((CATEGORIZED_2025!$G$2:$G$200000="Expense")*(TEXT(CATEGORIZED_2025!$A$2:$A$200000,"yyyy-mm")="2025-09")*CATEGORIZED_2025!$C$2:$C$200000)</f>
        <v/>
      </c>
      <c r="E10" s="2">
        <f>B10-C10-D10</f>
        <v/>
      </c>
    </row>
    <row r="11">
      <c r="A11" t="inlineStr">
        <is>
          <t>October</t>
        </is>
      </c>
      <c r="B11" s="2">
        <f>SUMPRODUCT((CATEGORIZED_2025!$G$2:$G$200000="Revenue")*(TEXT(CATEGORIZED_2025!$A$2:$A$200000,"yyyy-mm")="2025-10")*CATEGORIZED_2025!$C$2:$C$200000)</f>
        <v/>
      </c>
      <c r="C11" s="2">
        <f>SUMPRODUCT((CATEGORIZED_2025!$G$2:$G$200000="COGS")*(TEXT(CATEGORIZED_2025!$A$2:$A$200000,"yyyy-mm")="2025-10")*CATEGORIZED_2025!$C$2:$C$200000)</f>
        <v/>
      </c>
      <c r="D11" s="2">
        <f>SUMPRODUCT((CATEGORIZED_2025!$G$2:$G$200000="Expense")*(TEXT(CATEGORIZED_2025!$A$2:$A$200000,"yyyy-mm")="2025-10")*CATEGORIZED_2025!$C$2:$C$200000)</f>
        <v/>
      </c>
      <c r="E11" s="2">
        <f>B11-C11-D11</f>
        <v/>
      </c>
    </row>
    <row r="12">
      <c r="A12" t="inlineStr">
        <is>
          <t>November</t>
        </is>
      </c>
      <c r="B12" s="2">
        <f>SUMPRODUCT((CATEGORIZED_2025!$G$2:$G$200000="Revenue")*(TEXT(CATEGORIZED_2025!$A$2:$A$200000,"yyyy-mm")="2025-11")*CATEGORIZED_2025!$C$2:$C$200000)</f>
        <v/>
      </c>
      <c r="C12" s="2">
        <f>SUMPRODUCT((CATEGORIZED_2025!$G$2:$G$200000="COGS")*(TEXT(CATEGORIZED_2025!$A$2:$A$200000,"yyyy-mm")="2025-11")*CATEGORIZED_2025!$C$2:$C$200000)</f>
        <v/>
      </c>
      <c r="D12" s="2">
        <f>SUMPRODUCT((CATEGORIZED_2025!$G$2:$G$200000="Expense")*(TEXT(CATEGORIZED_2025!$A$2:$A$200000,"yyyy-mm")="2025-11")*CATEGORIZED_2025!$C$2:$C$200000)</f>
        <v/>
      </c>
      <c r="E12" s="2">
        <f>B12-C12-D12</f>
        <v/>
      </c>
    </row>
    <row r="13">
      <c r="A13" t="inlineStr">
        <is>
          <t>December</t>
        </is>
      </c>
      <c r="B13" s="2">
        <f>SUMPRODUCT((CATEGORIZED_2025!$G$2:$G$200000="Revenue")*(TEXT(CATEGORIZED_2025!$A$2:$A$200000,"yyyy-mm")="2025-12")*CATEGORIZED_2025!$C$2:$C$200000)</f>
        <v/>
      </c>
      <c r="C13" s="2">
        <f>SUMPRODUCT((CATEGORIZED_2025!$G$2:$G$200000="COGS")*(TEXT(CATEGORIZED_2025!$A$2:$A$200000,"yyyy-mm")="2025-12")*CATEGORIZED_2025!$C$2:$C$200000)</f>
        <v/>
      </c>
      <c r="D13" s="2">
        <f>SUMPRODUCT((CATEGORIZED_2025!$G$2:$G$200000="Expense")*(TEXT(CATEGORIZED_2025!$A$2:$A$200000,"yyyy-mm")="2025-12")*CATEGORIZED_2025!$C$2:$C$200000)</f>
        <v/>
      </c>
      <c r="E13" s="2">
        <f>B13-C13-D13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Contractor</t>
        </is>
      </c>
      <c r="B1" s="4" t="inlineStr">
        <is>
          <t>Total</t>
        </is>
      </c>
    </row>
    <row r="2">
      <c r="A2" t="inlineStr">
        <is>
          <t>Bryan</t>
        </is>
      </c>
      <c r="B2" s="2">
        <f>SUMIFS(CATEGORIZED_2025!$C:$C,CATEGORIZED_2025!$E:$E,"Labor",CATEGORIZED_2025!$J:$J,A2)</f>
        <v/>
      </c>
    </row>
    <row r="3">
      <c r="A3" t="inlineStr">
        <is>
          <t>Jameson</t>
        </is>
      </c>
      <c r="B3" s="2">
        <f>SUMIFS(CATEGORIZED_2025!$C:$C,CATEGORIZED_2025!$E:$E,"Labor",CATEGORIZED_2025!$J:$J,A3)</f>
        <v/>
      </c>
    </row>
    <row r="4">
      <c r="A4" t="inlineStr">
        <is>
          <t>Casey</t>
        </is>
      </c>
      <c r="B4" s="2">
        <f>SUMIFS(CATEGORIZED_2025!$C:$C,CATEGORIZED_2025!$E:$E,"Labor",CATEGORIZED_2025!$J:$J,A4)</f>
        <v/>
      </c>
    </row>
    <row r="5">
      <c r="A5" t="inlineStr">
        <is>
          <t>Tony</t>
        </is>
      </c>
      <c r="B5" s="2">
        <f>SUMIFS(CATEGORIZED_2025!$C:$C,CATEGORIZED_2025!$E:$E,"Labor",CATEGORIZED_2025!$J:$J,A5)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2026-03-31T16:49:03Z</dcterms:created>
  <dcterms:modified xmlns:dcterms="http://purl.org/dc/terms/" xmlns:xsi="http://www.w3.org/2001/XMLSchema-instance" xsi:type="dcterms:W3CDTF">2026-03-31T16:49:03Z</dcterms:modified>
</cp:coreProperties>
</file>